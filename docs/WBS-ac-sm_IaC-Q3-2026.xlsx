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BS" sheetId="1" state="visible" r:id="rId3"/>
    <sheet name="Jadwal" sheetId="2" state="visible" r:id="rId4"/>
    <sheet name="Rekap" sheetId="3" state="visible" r:id="rId5"/>
    <sheet name="Panduan" sheetId="4" state="visible" r:id="rId6"/>
  </sheets>
  <definedNames>
    <definedName function="false" hidden="true" localSheetId="0" name="_xlnm._FilterDatabase" vbProcedure="false">WBS!$A$4:$P$56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<sst xmlns="http://schemas.openxmlformats.org/spreadsheetml/2006/main" count="520" uniqueCount="289">
  <si>
    <t xml:space="preserve">WBS - Port Loop Agentic GitHub Actions ke Repo HDL ac-sm_IaC</t>
  </si>
  <si>
    <t xml:space="preserve">Periode kerja Triwulan III 2026 | Repo hargithub/ac-sm_IaC | WIB (UTC+07:00) | Realisasi per 5 September 2026 pukul 19:00  ||  Kolom Rencana = distribusi jadwal 3 bulan; kolom Aktual = tanggal yang benar-benar tercatat</t>
  </si>
  <si>
    <t xml:space="preserve">WBS</t>
  </si>
  <si>
    <t xml:space="preserve">Paket</t>
  </si>
  <si>
    <t xml:space="preserve">Nama Tugas</t>
  </si>
  <si>
    <t xml:space="preserve">Penanggung Jawab</t>
  </si>
  <si>
    <t xml:space="preserve">Status</t>
  </si>
  <si>
    <t xml:space="preserve">Rencana Mulai</t>
  </si>
  <si>
    <t xml:space="preserve">Rencana Selesai</t>
  </si>
  <si>
    <t xml:space="preserve">Durasi Rencana (hari kerja)</t>
  </si>
  <si>
    <t xml:space="preserve">Aktual Mulai</t>
  </si>
  <si>
    <t xml:space="preserve">Aktual Selesai</t>
  </si>
  <si>
    <t xml:space="preserve">Bulan (rencana)</t>
  </si>
  <si>
    <t xml:space="preserve">Bobot (%)</t>
  </si>
  <si>
    <t xml:space="preserve">Realisasi (%)</t>
  </si>
  <si>
    <t xml:space="preserve">Nilai Tertimbang (%)</t>
  </si>
  <si>
    <t xml:space="preserve">Jenis Waktu</t>
  </si>
  <si>
    <t xml:space="preserve">Keterangan / Bukti</t>
  </si>
  <si>
    <t xml:space="preserve">0.1</t>
  </si>
  <si>
    <t xml:space="preserve">0 Prasyarat</t>
  </si>
  <si>
    <t xml:space="preserve">Konfigurasi LLM Quality Gate (QG_*) di LPMS-3</t>
  </si>
  <si>
    <t xml:space="preserve">Hariyadi</t>
  </si>
  <si>
    <t xml:space="preserve">Selesai</t>
  </si>
  <si>
    <t xml:space="preserve">Aktual</t>
  </si>
  <si>
    <t xml:space="preserve">4 secret QG dibuat 2026-06-30 22:08-22:50 UTC = 1 Jul 05:08-05:50 WIB</t>
  </si>
  <si>
    <t xml:space="preserve">0.2</t>
  </si>
  <si>
    <t xml:space="preserve">Pembuatan workflow ocr-review.yml di LPMS-3</t>
  </si>
  <si>
    <t xml:space="preserve">Commit pertama 2026-06-30 22:21 UTC = 1 Jul 05:21 WIB</t>
  </si>
  <si>
    <t xml:space="preserve">0.3</t>
  </si>
  <si>
    <t xml:space="preserve">Registrasi GitHub App OpenCodeReview + 3 secret</t>
  </si>
  <si>
    <t xml:space="preserve">OCR_GITHUB_APP_* dibuat 2026-07-01 06:45-06:46 UTC = 13:45 WIB</t>
  </si>
  <si>
    <t xml:space="preserve">0.4</t>
  </si>
  <si>
    <t xml:space="preserve">Pembuatan workflow ocr-rebuttal.yml (dialog ber-thread)</t>
  </si>
  <si>
    <t xml:space="preserve">Commit pertama 2026-07-21 08:11 UTC = 21 Jul 15:11 WIB</t>
  </si>
  <si>
    <t xml:space="preserve">1.1</t>
  </si>
  <si>
    <t xml:space="preserve">1 Analisis</t>
  </si>
  <si>
    <t xml:space="preserve">Audit 12 workflow LPMS-3 di branch main</t>
  </si>
  <si>
    <t xml:space="preserve">Agent</t>
  </si>
  <si>
    <t xml:space="preserve">12 berkas diunduh 13:23:30-36 WIB; 6 detik</t>
  </si>
  <si>
    <t xml:space="preserve">1.2</t>
  </si>
  <si>
    <t xml:space="preserve">Deteksi checkout lokal basi (branch zai)</t>
  </si>
  <si>
    <t xml:space="preserve">Hanya 5 workflow, secret lama GLM/MINIMAX; sumber dialihkan ke remote main</t>
  </si>
  <si>
    <t xml:space="preserve">1.3</t>
  </si>
  <si>
    <t xml:space="preserve">Penetapan stack target HDL</t>
  </si>
  <si>
    <t xml:space="preserve">Nama repo 'IaC' menyesatkan; isi VHDL/Verilog/SystemVerilog</t>
  </si>
  <si>
    <t xml:space="preserve">1.4</t>
  </si>
  <si>
    <t xml:space="preserve">Keputusan cakupan 5 dari 12 workflow</t>
  </si>
  <si>
    <t xml:space="preserve">Loop agentic saja; CI, deploy, publish-image, migration-smoke ditunda</t>
  </si>
  <si>
    <t xml:space="preserve">2.1</t>
  </si>
  <si>
    <t xml:space="preserve">2 Adaptasi</t>
  </si>
  <si>
    <t xml:space="preserve">agent-trigger.yml - 505 baris</t>
  </si>
  <si>
    <t xml:space="preserve">Selesai 13:33:39. Setup .NET diganti Verilator/Icarus/GHDL; 11 aturan RTL</t>
  </si>
  <si>
    <t xml:space="preserve">2.2</t>
  </si>
  <si>
    <t xml:space="preserve">agent-fix.yml - 303 baris</t>
  </si>
  <si>
    <t xml:space="preserve">Selesai 13:34:56 (+1 mnt 17 dtk). Loop-breaker 3x dan traceability dipertahankan</t>
  </si>
  <si>
    <t xml:space="preserve">2.3</t>
  </si>
  <si>
    <t xml:space="preserve">ac-verify.yml - 521 baris</t>
  </si>
  <si>
    <t xml:space="preserve">Selesai 13:36:49 (+1 mnt 53 dtk). 8 pola celah hardware menggantikan pola .NET/EF Core</t>
  </si>
  <si>
    <t xml:space="preserve">2.8</t>
  </si>
  <si>
    <t xml:space="preserve">Perbaikan sumber: poll ci-cd.yml dibuat fail-safe</t>
  </si>
  <si>
    <t xml:space="preserve">Dikerjakan di dalam 2.3. Tanpa '|| echo 0' gate menggantung sampai timeout, AC tak pernah diverifikasi</t>
  </si>
  <si>
    <t xml:space="preserve">2.9</t>
  </si>
  <si>
    <t xml:space="preserve">Trigger workflow_run dibiarkan dorman</t>
  </si>
  <si>
    <t xml:space="preserve">Dikerjakan di dalam 2.3. Aktif sendiri saat workflow 'CI/CD Pipeline' dibuat</t>
  </si>
  <si>
    <t xml:space="preserve">2.4</t>
  </si>
  <si>
    <t xml:space="preserve">ocr-review.yml - 437 baris</t>
  </si>
  <si>
    <t xml:space="preserve">Selesai 13:37:14 (+25 dtk). Prompt --background diberi konteks RTL</t>
  </si>
  <si>
    <t xml:space="preserve">2.5</t>
  </si>
  <si>
    <t xml:space="preserve">ocr-rebuttal.yml - 179 baris</t>
  </si>
  <si>
    <t xml:space="preserve">Selesai 13:37:14 bersama 2.4; disalin utuh, sudah repo-agnostic</t>
  </si>
  <si>
    <t xml:space="preserve">2.6</t>
  </si>
  <si>
    <t xml:space="preserve">Template issue HDL - 120 baris</t>
  </si>
  <si>
    <t xml:space="preserve">Selesai 13:37:41 (+27 dtk). Field bahasa, port, clock/reset, verifikasi</t>
  </si>
  <si>
    <t xml:space="preserve">2.7</t>
  </si>
  <si>
    <t xml:space="preserve">Dokumentasi docs/AGENTIC-WORKFLOW.md - 191 baris</t>
  </si>
  <si>
    <t xml:space="preserve">Selesai 13:39:18 (+1 mnt 37 dtk). Berkas terakhir</t>
  </si>
  <si>
    <t xml:space="preserve">3.1</t>
  </si>
  <si>
    <t xml:space="preserve">3 Validasi</t>
  </si>
  <si>
    <t xml:space="preserve">Parse YAML 6 berkas</t>
  </si>
  <si>
    <t xml:space="preserve">Lolos seluruhnya</t>
  </si>
  <si>
    <t xml:space="preserve">3.2</t>
  </si>
  <si>
    <t xml:space="preserve">actionlint pada 5 workflow</t>
  </si>
  <si>
    <t xml:space="preserve">Binari diunduh 13:39:31; hasil 0 temuan</t>
  </si>
  <si>
    <t xml:space="preserve">3.3</t>
  </si>
  <si>
    <t xml:space="preserve">Cek sintaks shell 28 blok run</t>
  </si>
  <si>
    <t xml:space="preserve">bash -n setelah substitusi ekspresi Actions; 0 galat</t>
  </si>
  <si>
    <t xml:space="preserve">3.4</t>
  </si>
  <si>
    <t xml:space="preserve">Audit sisa referensi LPMS/.NET/AntDesign</t>
  </si>
  <si>
    <t xml:space="preserve">Sisa hanya komentar provenance yang disengaja</t>
  </si>
  <si>
    <t xml:space="preserve">4.1</t>
  </si>
  <si>
    <t xml:space="preserve">4 Deployment</t>
  </si>
  <si>
    <t xml:space="preserve">Commit dan push 3b055bd</t>
  </si>
  <si>
    <t xml:space="preserve">Commit 13:43:05, tiba di GitHub 13:43:11. 7 berkas, 2.256 sisipan</t>
  </si>
  <si>
    <t xml:space="preserve">4.2</t>
  </si>
  <si>
    <t xml:space="preserve">Buat 6 label agent</t>
  </si>
  <si>
    <t xml:space="preserve">agent-task, plan-posted, plan-approved, fast-track, agent-generated, needs-human</t>
  </si>
  <si>
    <t xml:space="preserve">4.3</t>
  </si>
  <si>
    <t xml:space="preserve">Verifikasi 5 workflow terdaftar dan active</t>
  </si>
  <si>
    <t xml:space="preserve">Terdaftar 13:43:11 menurut timestamp sisi server GitHub</t>
  </si>
  <si>
    <t xml:space="preserve">5.1</t>
  </si>
  <si>
    <t xml:space="preserve">5 Kredensial</t>
  </si>
  <si>
    <t xml:space="preserve">Buat GitHub App OCR baru</t>
  </si>
  <si>
    <t xml:space="preserve">Terwujud sebagai opencodereview-ac-sm[bot]; slug memuat 'opencodereview' sesuai syarat dan nama LPMS-3 hilang. Bukti: secret OCR_GITHUB_APP_* 20 Agu 15:15 WIB</t>
  </si>
  <si>
    <t xml:space="preserve">5.2</t>
  </si>
  <si>
    <t xml:space="preserve">Install App ke repo ac-sm_IaC</t>
  </si>
  <si>
    <t xml:space="preserve">Terkonfirmasi 5 Sep: step Get GitHub App Token sukses pada run ocr-review dan review terbit atas identitas App</t>
  </si>
  <si>
    <t xml:space="preserve">5.3</t>
  </si>
  <si>
    <t xml:space="preserve">Isi 9 secret (9/9 terpasang)</t>
  </si>
  <si>
    <t xml:space="preserve">9/9 terpasang. 2 secret App 20 Agu; 7 sisanya 4 Sep 15:01-15:05; CODE_API_KEY dan PLAN_API_KEY 5 Sep saat model dipisah</t>
  </si>
  <si>
    <t xml:space="preserve">5.4</t>
  </si>
  <si>
    <t xml:space="preserve">Verifikasi 9 secret dan slug bot</t>
  </si>
  <si>
    <t xml:space="preserve">9/9 secret terverifikasi; slug bot opencodereview-ac-sm memenuhi syarat pencocokan di 9 titik workflow</t>
  </si>
  <si>
    <t xml:space="preserve">6.1</t>
  </si>
  <si>
    <t xml:space="preserve">6 Fondasi HDL</t>
  </si>
  <si>
    <t xml:space="preserve">Tulis CLAUDE.md</t>
  </si>
  <si>
    <t xml:space="preserve">commit bf5e1d8, 161 baris: konvensi RTL, testbench, penamaan, alur agentic. Daftar fitur SystemVerilog diuji langsung ke Icarus 12, bukan disalin dokumentasi</t>
  </si>
  <si>
    <t xml:space="preserve">6.2</t>
  </si>
  <si>
    <t xml:space="preserve">Tetapkan struktur direktori dan build system</t>
  </si>
  <si>
    <t xml:space="preserve">commit bf5e1d8: rtl/, tb/, constr/, scripts/, Makefile, dua filelist, modul counter contoh dan testbench-nya. Lint dan sim diverifikasi lokal</t>
  </si>
  <si>
    <t xml:space="preserve">6.3</t>
  </si>
  <si>
    <t xml:space="preserve">Issue #1 sebagai uji perdana loop</t>
  </si>
  <si>
    <t xml:space="preserve">Skeleton dikerjakan langsung di 6.2; issue #1 dialihkan menjadi modul uart_tx agar sekaligus menguji loop</t>
  </si>
  <si>
    <t xml:space="preserve">7.1</t>
  </si>
  <si>
    <t xml:space="preserve">7 Uji Loop</t>
  </si>
  <si>
    <t xml:space="preserve">Tahap PLAN</t>
  </si>
  <si>
    <t xml:space="preserve">Run 33944572063 sukses 1m55s. CATATAN: dijalankan agent-trigger versi lama; agent-plan.yml hasil pemisahan belum pernah jalan, lihat 9.10</t>
  </si>
  <si>
    <t xml:space="preserve">7.2</t>
  </si>
  <si>
    <t xml:space="preserve">Tahap IMPLEMENT</t>
  </si>
  <si>
    <t xml:space="preserve">Run 33961623295 sukses pada percobaan pertama; branch feat/acsm-issue-1 dan PR #2 terbentuk</t>
  </si>
  <si>
    <t xml:space="preserve">7.3</t>
  </si>
  <si>
    <t xml:space="preserve">Review OpenCodeReview</t>
  </si>
  <si>
    <t xml:space="preserve">5 temuan inline terbit atas identitas opencodereview-ac-sm[bot], membuktikan App terpasang</t>
  </si>
  <si>
    <t xml:space="preserve">7.4</t>
  </si>
  <si>
    <t xml:space="preserve">agent-fix dan traceability</t>
  </si>
  <si>
    <t xml:space="preserve">Commit c74d73c; kelima temuan dibalas per thread. Catatan: semua dilabeli Fixed padahal 4 di antaranya hanya menambah dokumentasi</t>
  </si>
  <si>
    <t xml:space="preserve">7.5</t>
  </si>
  <si>
    <t xml:space="preserve">ac-verify dan auto-loop</t>
  </si>
  <si>
    <t xml:space="preserve">Laporan terbit. Dengan thinker-model: 10 MET, 1 PARTIAL, 0 CANNOT VERIFY. Auto-trigger terbukti menyambung setelah token diganti ke GH_PAT</t>
  </si>
  <si>
    <t xml:space="preserve">7.6</t>
  </si>
  <si>
    <t xml:space="preserve">ocr-rebuttal</t>
  </si>
  <si>
    <t xml:space="preserve">Belum teruji</t>
  </si>
  <si>
    <t xml:space="preserve">Estimasi</t>
  </si>
  <si>
    <t xml:space="preserve">20 run: 17 skipped, 3 cancelled, 0 sukses. Hanya menyala bila agent-fix membantah dengan penanda Rebuttal, sedangkan kelima temuan dilabeli Fixed</t>
  </si>
  <si>
    <t xml:space="preserve">7.7</t>
  </si>
  <si>
    <t xml:space="preserve">Loop-breaker sampai label needs-human</t>
  </si>
  <si>
    <t xml:space="preserve">Cap 3 putaran tercapai pada run 11:17:20. Eskalasinya sempat gagal karena gh tanpa --repo, sudah diperbaiki di 9.9</t>
  </si>
  <si>
    <t xml:space="preserve">8.1</t>
  </si>
  <si>
    <t xml:space="preserve">8 Perluasan</t>
  </si>
  <si>
    <t xml:space="preserve">Workflow CI bernama 'CI/CD Pipeline'</t>
  </si>
  <si>
    <t xml:space="preserve">Opsional</t>
  </si>
  <si>
    <t xml:space="preserve">Lint Verilator, elaborate GHDL, jalankan testbench; mengaktifkan trigger workflow_run dorman</t>
  </si>
  <si>
    <t xml:space="preserve">8.2</t>
  </si>
  <si>
    <t xml:space="preserve">dependency-review</t>
  </si>
  <si>
    <t xml:space="preserve">Relevan bila memakai dependensi pihak ketiga seperti core FuseSoC</t>
  </si>
  <si>
    <t xml:space="preserve">8.3</t>
  </si>
  <si>
    <t xml:space="preserve">Runner self-hosted untuk simulasi berat</t>
  </si>
  <si>
    <t xml:space="preserve">lpms-vm-runner terdaftar hanya ke LPMS-3; salah pasang membuat job menggantung di antrean</t>
  </si>
  <si>
    <t xml:space="preserve">8.4</t>
  </si>
  <si>
    <t xml:space="preserve">Branch protection pada main</t>
  </si>
  <si>
    <t xml:space="preserve">Gate ac-verify sudah menangani status BLOCKED</t>
  </si>
  <si>
    <t xml:space="preserve">9.1</t>
  </si>
  <si>
    <t xml:space="preserve">9 Pengerasan</t>
  </si>
  <si>
    <t xml:space="preserve">Pisahkan tahap rencana ke agent-plan.yml</t>
  </si>
  <si>
    <t xml:space="preserve">commit d298d52. Dua tahap kini memakai model berbeda; prompt perencana mewajibkan 11 bagian dan menolak rencana di bawah 1.500 karakter</t>
  </si>
  <si>
    <t xml:space="preserve">9.2</t>
  </si>
  <si>
    <t xml:space="preserve">Konfigurasi model lewat repository variables</t>
  </si>
  <si>
    <t xml:space="preserve">commit 5c89658, e2a4926, 42a0c4e. Seluruh fallback dihapus agar salah konfigurasi terlihat, bukan tertutup diam-diam</t>
  </si>
  <si>
    <t xml:space="preserve">9.3</t>
  </si>
  <si>
    <t xml:space="preserve">Streaming log, batas waktu percobaan, preflight gateway</t>
  </si>
  <si>
    <t xml:space="preserve">commit bb194ae. Menutup cacat bawaan LPMS-3: loop retry tidak pernah menyala saat agent menggantung</t>
  </si>
  <si>
    <t xml:space="preserve">9.4</t>
  </si>
  <si>
    <t xml:space="preserve">Selaraskan preflight dengan konfigurasi tanpa fallback</t>
  </si>
  <si>
    <t xml:space="preserve">commit 8e36aff. Preflight kini menguji nilai yang persis sama dengan step agent, plus gerbang konfigurasi kosong</t>
  </si>
  <si>
    <t xml:space="preserve">9.5</t>
  </si>
  <si>
    <t xml:space="preserve">Seragamkan token agent-fix ke CODE_API_KEY</t>
  </si>
  <si>
    <t xml:space="preserve">commit ab0f8bb. Pembagian token jadi konsisten: agent-plan pakai PLAN_API_KEY, agent-trigger dan agent-fix pakai CODE_API_KEY</t>
  </si>
  <si>
    <t xml:space="preserve">9.6</t>
  </si>
  <si>
    <t xml:space="preserve">Perbaikan gateway Cloudflare 524</t>
  </si>
  <si>
    <t xml:space="preserve">Dikerjakan di sisi server, bukan repo. Respons model sebelumnya melampaui batas baca proxy 120 detik. Inilah yang membuka jalan PR #2 berhasil</t>
  </si>
  <si>
    <t xml:space="preserve">9.7</t>
  </si>
  <si>
    <t xml:space="preserve">Laporkan penyebab kegagalan sebenarnya</t>
  </si>
  <si>
    <t xml:space="preserve">commit 74f59ad. Menggantikan tebakan likely rate limit yang keliru; membaca api_error_status langsung dari stream</t>
  </si>
  <si>
    <t xml:space="preserve">9.8</t>
  </si>
  <si>
    <t xml:space="preserve">Empat cacat dari siklus penuh pertama</t>
  </si>
  <si>
    <t xml:space="preserve">commit d967bf2. Loop-breaker gagal eskalasi, auto-trigger tak menyambung, temuan terhitung dobel, model penilai di-hardcode</t>
  </si>
  <si>
    <t xml:space="preserve">9.9</t>
  </si>
  <si>
    <t xml:space="preserve">Pulihkan circuit breaker dan footer commit</t>
  </si>
  <si>
    <t xml:space="preserve">commit 83607a8. Perbaikan auto-trigger sempat mematikan cap 3 putaran; deteksi kini lewat penanda isi, bukan tipe akun</t>
  </si>
  <si>
    <t xml:space="preserve">9.10</t>
  </si>
  <si>
    <t xml:space="preserve">Uji agent-plan.yml hasil pemisahan</t>
  </si>
  <si>
    <t xml:space="preserve">0 run. Rencana issue #1 dibuat agent-trigger versi lama; workflow perencana yang baru belum pernah dieksekusi</t>
  </si>
  <si>
    <t xml:space="preserve">TOTAL</t>
  </si>
  <si>
    <t xml:space="preserve">Bobot dibagi rata 1/42 per tugas. Ubah kolom L bila ingin bobot berbasis effort.</t>
  </si>
  <si>
    <t xml:space="preserve">Jadwal Mingguan Triwulan III 2026 - Rencana vs Aktual</t>
  </si>
  <si>
    <t xml:space="preserve">X = minggu sesuai rencana  |  A = minggu tempat pekerjaan benar-benar terjadi  |  Hijau = tugas selesai, tembaga = belum</t>
  </si>
  <si>
    <t xml:space="preserve">Senin -&gt;</t>
  </si>
  <si>
    <t xml:space="preserve">W01</t>
  </si>
  <si>
    <t xml:space="preserve">W02</t>
  </si>
  <si>
    <t xml:space="preserve">W03</t>
  </si>
  <si>
    <t xml:space="preserve">W04</t>
  </si>
  <si>
    <t xml:space="preserve">W05</t>
  </si>
  <si>
    <t xml:space="preserve">W06</t>
  </si>
  <si>
    <t xml:space="preserve">W07</t>
  </si>
  <si>
    <t xml:space="preserve">W08</t>
  </si>
  <si>
    <t xml:space="preserve">W09</t>
  </si>
  <si>
    <t xml:space="preserve">W10</t>
  </si>
  <si>
    <t xml:space="preserve">W11</t>
  </si>
  <si>
    <t xml:space="preserve">W12</t>
  </si>
  <si>
    <t xml:space="preserve">W13</t>
  </si>
  <si>
    <t xml:space="preserve">W14</t>
  </si>
  <si>
    <t xml:space="preserve">Blok A menumpuk di W08 (paket 1-4, 18 Agu) dan W10 (paket 5-7 dan 9, 5 Sep). Paket 6 dan 7 selesai LEBIH AWAL dari rencananya - blok A muncul sebelum blok X.</t>
  </si>
  <si>
    <t xml:space="preserve">Rekapitulasi per Paket Kerja</t>
  </si>
  <si>
    <t xml:space="preserve">Seluruh angka dihitung ulang dari sheet WBS.</t>
  </si>
  <si>
    <t xml:space="preserve">Paket Kerja</t>
  </si>
  <si>
    <t xml:space="preserve">Jml Tugas</t>
  </si>
  <si>
    <t xml:space="preserve">Waktu Jalan (jam)</t>
  </si>
  <si>
    <t xml:space="preserve">Jenis</t>
  </si>
  <si>
    <t xml:space="preserve">Catatan Waktu</t>
  </si>
  <si>
    <t xml:space="preserve">-</t>
  </si>
  <si>
    <t xml:space="preserve">Hanya tanggal yang terbukti; durasi tidak tercatat</t>
  </si>
  <si>
    <t xml:space="preserve">13 mnt terukur, 13:20-13:33 pada 18 Agu</t>
  </si>
  <si>
    <t xml:space="preserve">5 mnt 39 dtk terukur, 13:33:39-13:39:18 pada 18 Agu</t>
  </si>
  <si>
    <t xml:space="preserve">3 mnt 47 dtk terukur, 13:39:18-13:43:05 pada 18 Agu</t>
  </si>
  <si>
    <t xml:space="preserve">sekitar 1 mnt terukur, 13:43:05-13:44:02 pada 18 Agu</t>
  </si>
  <si>
    <t xml:space="preserve">Tersebar 20 Agu sampai 5 Sep, tidak tercatat kontinu</t>
  </si>
  <si>
    <t xml:space="preserve">Satu commit bf5e1d8; rentangnya tidak terukur terpisah</t>
  </si>
  <si>
    <t xml:space="preserve">Elapsed 11:26-18:45 WIB. BERIRISAN dengan paket 9, jangan dijumlahkan</t>
  </si>
  <si>
    <t xml:space="preserve">di luar cakupan yang disepakati</t>
  </si>
  <si>
    <t xml:space="preserve">Elapsed 16:10-18:59 WIB, commit pertama ke terakhir. BERIRISAN dengan paket 7</t>
  </si>
  <si>
    <t xml:space="preserve">Rekapitulasi per Bulan (berdasarkan Rencana Selesai)</t>
  </si>
  <si>
    <t xml:space="preserve">Bulan</t>
  </si>
  <si>
    <t xml:space="preserve">Fokus Bulan</t>
  </si>
  <si>
    <t xml:space="preserve">Jul 2026</t>
  </si>
  <si>
    <t xml:space="preserve">Prasyarat OCR/Quality Gate di LPMS-3, analisis sumber, dan mayoritas adaptasi workflow</t>
  </si>
  <si>
    <t xml:space="preserve">Agu 2026</t>
  </si>
  <si>
    <t xml:space="preserve">Sisa adaptasi, validasi, deployment ke ac-sm_IaC, dan pembuatan GitHub App OCR</t>
  </si>
  <si>
    <t xml:space="preserve">Sep 2026</t>
  </si>
  <si>
    <t xml:space="preserve">Kredensial, fondasi HDL, siklus agentic penuh pertama, dan sembilan commit pengerasan loop di luar rencana awal</t>
  </si>
  <si>
    <t xml:space="preserve">Panduan Pembacaan dan Pengisian</t>
  </si>
  <si>
    <t xml:space="preserve">RENCANA vs AKTUAL - BACA INI DULU</t>
  </si>
  <si>
    <t xml:space="preserve">Kolom Rencana</t>
  </si>
  <si>
    <t xml:space="preserve">Distribusi jadwal sepanjang Juli-September 2026, disusun mengikuti urutan logis pekerjaan. Ini baseline pelaporan triwulan, bukan catatan waktu sebenarnya.</t>
  </si>
  <si>
    <t xml:space="preserve">Kolom Aktual</t>
  </si>
  <si>
    <t xml:space="preserve">Tanggal yang benar-benar tercatat. Paket 1 sampai 4 seluruhnya dieksekusi pada 18 Agustus 2026 dalam satu sesi 24 menit - itulah sebabnya blok A di sheet Jadwal menumpuk di W08.</t>
  </si>
  <si>
    <t xml:space="preserve">Kenapa dipisah</t>
  </si>
  <si>
    <t xml:space="preserve">Menimpa kolom Aktual dengan tanggal rencana akan membuat dokumen ini bertentangan dengan bukti commit dan timestamp server GitHub. Keduanya disimpan berdampingan.</t>
  </si>
  <si>
    <t xml:space="preserve">Varians</t>
  </si>
  <si>
    <t xml:space="preserve">Sengaja tidak dihitung. Baseline di sini disusun setelah pekerjaan selesai, jadi selisih rencana-aktual tidak bermakna sebagai ukuran kinerja.</t>
  </si>
  <si>
    <t xml:space="preserve">SEL YANG BOLEH DIEDIT</t>
  </si>
  <si>
    <t xml:space="preserve">Teks biru</t>
  </si>
  <si>
    <t xml:space="preserve">Sel isian: Rencana Mulai, Rencana Selesai, Aktual Mulai, Aktual Selesai, Bobot, Realisasi di sheet WBS, dan Waktu Jalan di sheet Rekap.</t>
  </si>
  <si>
    <t xml:space="preserve">Teks hitam</t>
  </si>
  <si>
    <t xml:space="preserve">Rumus. Jangan ditimpa - akan menghitung ulang sendiri saat sel biru diubah.</t>
  </si>
  <si>
    <t xml:space="preserve">Format tanggal</t>
  </si>
  <si>
    <t xml:space="preserve">dd-mmm-yy, contoh 18-Agu-26. Isi sebagai tanggal, bukan teks.</t>
  </si>
  <si>
    <t xml:space="preserve">Format persen</t>
  </si>
  <si>
    <t xml:space="preserve">Simpan sebagai pecahan: ketik 100% atau 1, bukan angka 100.</t>
  </si>
  <si>
    <t xml:space="preserve">KOSAKATA STATUS</t>
  </si>
  <si>
    <t xml:space="preserve">Sudah dikerjakan dan terbukti dari berkas, commit, atau timestamp server.</t>
  </si>
  <si>
    <t xml:space="preserve">Menunggu</t>
  </si>
  <si>
    <t xml:space="preserve">Belum dikerjakan; menunggu tindakan pemilik akun.</t>
  </si>
  <si>
    <t xml:space="preserve">Terblokir</t>
  </si>
  <si>
    <t xml:space="preserve">Tidak dapat dimulai sebelum paket prasyaratnya tuntas.</t>
  </si>
  <si>
    <t xml:space="preserve">Workflow-nya sudah terpasang dan aktif, tetapi jalurnya belum pernah benar-benar dieksekusi.</t>
  </si>
  <si>
    <t xml:space="preserve">Di luar cakupan yang disepakati; dicatat untuk fase berikutnya.</t>
  </si>
  <si>
    <t xml:space="preserve">SUMBER ANGKA WAKTU</t>
  </si>
  <si>
    <t xml:space="preserve">Paket 0 (Juli)</t>
  </si>
  <si>
    <t xml:space="preserve">Tanggal pembuatan secret di repo LPMS-3 dan commit pertama tiap workflow sumber. Di paket ini rencana dan aktual berimpit karena pekerjaannya memang terjadi di Juli.</t>
  </si>
  <si>
    <t xml:space="preserve">Paket 1-4</t>
  </si>
  <si>
    <t xml:space="preserve">mtime berkas, commit git 2026-08-18T13:43:05+07:00, dan timestamp server GitHub pushed_at 2026-08-18T06:43:11Z.</t>
  </si>
  <si>
    <t xml:space="preserve">Paket 5 sampai 7</t>
  </si>
  <si>
    <t xml:space="preserve">Aktual. Bukti: timestamp secret, waktu commit, dan waktu run GitHub Actions.</t>
  </si>
  <si>
    <t xml:space="preserve">Paket 8</t>
  </si>
  <si>
    <t xml:space="preserve">Estimasi; belum dikerjakan.</t>
  </si>
  <si>
    <t xml:space="preserve">Paket 9</t>
  </si>
  <si>
    <t xml:space="preserve">Aktual, dari commit pertama ke terakhir. Paket ini TIDAK ada di rencana awal - lahir dari cacat yang terungkap saat siklus penuh pertama dijalankan.</t>
  </si>
  <si>
    <t xml:space="preserve">Rentang beririsan</t>
  </si>
  <si>
    <t xml:space="preserve">Waktu jalan paket 7 dan paket 9 saling tumpang tindih karena dikerjakan berselang-seling. Jangan dijumlahkan.</t>
  </si>
  <si>
    <t xml:space="preserve">ASUMSI YANG DIPAKAI</t>
  </si>
  <si>
    <t xml:space="preserve">Periode</t>
  </si>
  <si>
    <t xml:space="preserve">Triwulan III 2026 sebagai jendela pelaporan. Juli memuat pekerjaan prasyarat di repo LPMS-3, bukan di ac-sm_IaC.</t>
  </si>
  <si>
    <t xml:space="preserve">Di luar jendela</t>
  </si>
  <si>
    <t xml:space="preserve">agent-trigger.yml dan agent-fix.yml lahir 13 Apr 2026, ac-verify.yml 18 Apr 2026 di LPMS-3. Ketiganya mendahului triwulan ini sehingga tidak dimasukkan.</t>
  </si>
  <si>
    <t xml:space="preserve">Bobot</t>
  </si>
  <si>
    <t xml:space="preserve">Dibagi rata 1/42 per tugas. Ubah kolom Bobot bila ingin bobot berbasis effort.</t>
  </si>
  <si>
    <t xml:space="preserve">Realisasi</t>
  </si>
  <si>
    <t xml:space="preserve">Diperbarui 5 September 2026 pukul 19:00 WIB. Paket 5, 6, dan 7 selesai lebih awal dari baseline; paket 9 adalah penambahan cakupan di tengah triwulan.</t>
  </si>
  <si>
    <t xml:space="preserve">Waktu jalan</t>
  </si>
  <si>
    <t xml:space="preserve">Angka paket 1-4 adalah waktu jalan sesi agent, bukan jam-orang. Menulis 2.256 baris workflow secara manual bukan pekerjaan 24 menit.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</si>
</sst>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\-mmm\-yy"/>
    <numFmt numFmtId="166" formatCode="0.0%"/>
    <numFmt numFmtId="167" formatCode="0%"/>
    <numFmt numFmtId="168" formatCode="0.00%"/>
    <numFmt numFmtId="169" formatCode="General"/>
    <numFmt numFmtId="170" formatCode="dd\-mmm"/>
    <numFmt numFmtId="171" formatCode="0.0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430"/>
      <name val="Arial"/>
      <family val="0"/>
      <charset val="1"/>
    </font>
    <font>
      <sz val="9"/>
      <color rgb="FF79818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1F2430"/>
      <name val="Arial"/>
      <family val="0"/>
      <charset val="1"/>
    </font>
    <font>
      <b val="true"/>
      <sz val="9"/>
      <color rgb="FF2F6B4F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A8541F"/>
      <name val="Arial"/>
      <family val="0"/>
      <charset val="1"/>
    </font>
    <font>
      <b val="true"/>
      <sz val="9"/>
      <color rgb="FF79818F"/>
      <name val="Arial"/>
      <family val="0"/>
      <charset val="1"/>
    </font>
    <font>
      <b val="true"/>
      <sz val="10"/>
      <color rgb="FF1F2430"/>
      <name val="Arial"/>
      <family val="0"/>
      <charset val="1"/>
    </font>
    <font>
      <b val="true"/>
      <sz val="10"/>
      <color rgb="FF2F6B4F"/>
      <name val="Arial"/>
      <family val="0"/>
      <charset val="1"/>
    </font>
    <font>
      <i val="true"/>
      <sz val="8"/>
      <color rgb="FF79818F"/>
      <name val="Arial"/>
      <family val="0"/>
      <charset val="1"/>
    </font>
    <font>
      <sz val="8"/>
      <color rgb="FF79818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color rgb="FF79818F"/>
      <name val="Arial"/>
      <family val="0"/>
      <charset val="1"/>
    </font>
    <font>
      <b val="true"/>
      <sz val="9"/>
      <color rgb="FF1F2430"/>
      <name val="Arial"/>
      <family val="0"/>
      <charset val="1"/>
    </font>
    <font>
      <b val="true"/>
      <sz val="12"/>
      <color rgb="FF1F2430"/>
      <name val="Arial"/>
      <family val="0"/>
      <charset val="1"/>
    </font>
    <font>
      <b val="true"/>
      <sz val="10"/>
      <color rgb="FFA8541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2430"/>
        <bgColor rgb="FF333300"/>
      </patternFill>
    </fill>
    <fill>
      <patternFill patternType="solid">
        <fgColor rgb="FFF7F8FA"/>
        <bgColor rgb="FFFFFFFF"/>
      </patternFill>
    </fill>
    <fill>
      <patternFill patternType="solid">
        <fgColor rgb="FFEBEEF2"/>
        <bgColor rgb="FFDCEAE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DE5"/>
      </left>
      <right style="thin">
        <color rgb="FFD8DDE5"/>
      </right>
      <top style="thin">
        <color rgb="FFD8DDE5"/>
      </top>
      <bottom style="thin">
        <color rgb="FFD8DD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2430"/>
          <bgColor rgb="FF000000"/>
        </patternFill>
      </fill>
    </dxf>
    <dxf>
      <fill>
        <patternFill patternType="solid">
          <fgColor rgb="FFF7F8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F6B4F"/>
          <bgColor rgb="FF000000"/>
        </patternFill>
      </fill>
    </dxf>
    <dxf>
      <fill>
        <patternFill patternType="solid">
          <fgColor rgb="FF79818F"/>
          <bgColor rgb="FF000000"/>
        </patternFill>
      </fill>
    </dxf>
    <dxf>
      <fill>
        <patternFill patternType="solid">
          <fgColor rgb="FFA8541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ont>
        <name val="Arial"/>
        <charset val="1"/>
        <family val="0"/>
        <b val="1"/>
        <color rgb="FFFFFFFF"/>
        <sz val="9"/>
      </font>
      <fill>
        <patternFill>
          <bgColor rgb="FF2F6B4F"/>
        </patternFill>
      </fill>
    </dxf>
    <dxf>
      <font>
        <name val="Arial"/>
        <charset val="1"/>
        <family val="0"/>
        <color rgb="FFDCEAE1"/>
        <sz val="9"/>
      </font>
      <fill>
        <patternFill>
          <bgColor rgb="FFDCEAE1"/>
        </patternFill>
      </fill>
    </dxf>
    <dxf>
      <font>
        <name val="Arial"/>
        <charset val="1"/>
        <family val="0"/>
        <color rgb="FFA8541F"/>
        <sz val="9"/>
      </font>
      <fill>
        <patternFill>
          <bgColor rgb="FFA8541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F6B4F"/>
      <rgbColor rgb="FFC0C0C0"/>
      <rgbColor rgb="FF79818F"/>
      <rgbColor rgb="FF9999FF"/>
      <rgbColor rgb="FF993366"/>
      <rgbColor rgb="FFF7F8FA"/>
      <rgbColor rgb="FFEBEEF2"/>
      <rgbColor rgb="FF660066"/>
      <rgbColor rgb="FFFF8080"/>
      <rgbColor rgb="FF0066CC"/>
      <rgbColor rgb="FFD8D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CEAE1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A8541F"/>
      <rgbColor rgb="FF993366"/>
      <rgbColor rgb="FF333399"/>
      <rgbColor rgb="FF1F24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5"/>
    <col collapsed="false" customWidth="true" hidden="false" outlineLevel="0" max="3" min="3" style="0" width="46"/>
    <col collapsed="false" customWidth="true" hidden="false" outlineLevel="0" max="4" min="4" style="0" width="15"/>
    <col collapsed="false" customWidth="true" hidden="false" outlineLevel="0" max="5" min="5" style="0" width="11"/>
    <col collapsed="false" customWidth="true" hidden="false" outlineLevel="0" max="7" min="6" style="0" width="12"/>
    <col collapsed="false" customWidth="true" hidden="false" outlineLevel="0" max="8" min="8" style="0" width="11"/>
    <col collapsed="false" customWidth="true" hidden="false" outlineLevel="0" max="11" min="9" style="0" width="12"/>
    <col collapsed="false" customWidth="true" hidden="false" outlineLevel="0" max="12" min="12" style="0" width="9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5" min="15" style="0" width="10"/>
    <col collapsed="false" customWidth="true" hidden="false" outlineLevel="0" max="16" min="16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3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</row>
    <row r="5" customFormat="false" ht="15" hidden="false" customHeight="false" outlineLevel="0" collapsed="false">
      <c r="A5" s="4" t="s">
        <v>18</v>
      </c>
      <c r="B5" s="5" t="s">
        <v>19</v>
      </c>
      <c r="C5" s="6" t="s">
        <v>20</v>
      </c>
      <c r="D5" s="4" t="s">
        <v>21</v>
      </c>
      <c r="E5" s="7" t="s">
        <v>22</v>
      </c>
      <c r="F5" s="8" t="n">
        <v>46204</v>
      </c>
      <c r="G5" s="8" t="n">
        <v>46204</v>
      </c>
      <c r="H5" s="4" t="n">
        <f aca="false">NETWORKDAYS(F5,G5)</f>
        <v>1</v>
      </c>
      <c r="I5" s="8" t="n">
        <v>46204</v>
      </c>
      <c r="J5" s="8" t="n">
        <v>46204</v>
      </c>
      <c r="K5" s="4" t="str">
        <f aca="false">IF(G5="","",CHOOSE(MONTH(G5),"Jan","Feb","Mar","Apr","Mei","Jun","Jul","Agu","Sep","Okt","Nov","Des")&amp;" "&amp;YEAR(G5))</f>
        <v>Jul 2026</v>
      </c>
      <c r="L5" s="9" t="n">
        <v>0.0192307692307692</v>
      </c>
      <c r="M5" s="10" t="n">
        <v>1</v>
      </c>
      <c r="N5" s="11" t="n">
        <f aca="false">L5*M5</f>
        <v>0.0192307692307692</v>
      </c>
      <c r="O5" s="4" t="s">
        <v>23</v>
      </c>
      <c r="P5" s="6" t="s">
        <v>24</v>
      </c>
    </row>
    <row r="6" customFormat="false" ht="15" hidden="false" customHeight="false" outlineLevel="0" collapsed="false">
      <c r="A6" s="12" t="s">
        <v>25</v>
      </c>
      <c r="B6" s="13" t="s">
        <v>19</v>
      </c>
      <c r="C6" s="14" t="s">
        <v>26</v>
      </c>
      <c r="D6" s="12" t="s">
        <v>21</v>
      </c>
      <c r="E6" s="15" t="s">
        <v>22</v>
      </c>
      <c r="F6" s="16" t="n">
        <v>46204</v>
      </c>
      <c r="G6" s="16" t="n">
        <v>46205</v>
      </c>
      <c r="H6" s="12" t="n">
        <f aca="false">NETWORKDAYS(F6,G6)</f>
        <v>2</v>
      </c>
      <c r="I6" s="16" t="n">
        <v>46204</v>
      </c>
      <c r="J6" s="16" t="n">
        <v>46204</v>
      </c>
      <c r="K6" s="12" t="str">
        <f aca="false">IF(G6="","",CHOOSE(MONTH(G6),"Jan","Feb","Mar","Apr","Mei","Jun","Jul","Agu","Sep","Okt","Nov","Des")&amp;" "&amp;YEAR(G6))</f>
        <v>Jul 2026</v>
      </c>
      <c r="L6" s="17" t="n">
        <v>0.0192307692307692</v>
      </c>
      <c r="M6" s="18" t="n">
        <v>1</v>
      </c>
      <c r="N6" s="19" t="n">
        <f aca="false">L6*M6</f>
        <v>0.0192307692307692</v>
      </c>
      <c r="O6" s="12" t="s">
        <v>23</v>
      </c>
      <c r="P6" s="14" t="s">
        <v>27</v>
      </c>
    </row>
    <row r="7" customFormat="false" ht="15" hidden="false" customHeight="false" outlineLevel="0" collapsed="false">
      <c r="A7" s="4" t="s">
        <v>28</v>
      </c>
      <c r="B7" s="5" t="s">
        <v>19</v>
      </c>
      <c r="C7" s="6" t="s">
        <v>29</v>
      </c>
      <c r="D7" s="4" t="s">
        <v>21</v>
      </c>
      <c r="E7" s="7" t="s">
        <v>22</v>
      </c>
      <c r="F7" s="8" t="n">
        <v>46204</v>
      </c>
      <c r="G7" s="8" t="n">
        <v>46206</v>
      </c>
      <c r="H7" s="4" t="n">
        <f aca="false">NETWORKDAYS(F7,G7)</f>
        <v>3</v>
      </c>
      <c r="I7" s="8" t="n">
        <v>46204</v>
      </c>
      <c r="J7" s="8" t="n">
        <v>46204</v>
      </c>
      <c r="K7" s="4" t="str">
        <f aca="false">IF(G7="","",CHOOSE(MONTH(G7),"Jan","Feb","Mar","Apr","Mei","Jun","Jul","Agu","Sep","Okt","Nov","Des")&amp;" "&amp;YEAR(G7))</f>
        <v>Jul 2026</v>
      </c>
      <c r="L7" s="9" t="n">
        <v>0.0192307692307692</v>
      </c>
      <c r="M7" s="10" t="n">
        <v>1</v>
      </c>
      <c r="N7" s="11" t="n">
        <f aca="false">L7*M7</f>
        <v>0.0192307692307692</v>
      </c>
      <c r="O7" s="4" t="s">
        <v>23</v>
      </c>
      <c r="P7" s="6" t="s">
        <v>30</v>
      </c>
    </row>
    <row r="8" customFormat="false" ht="15" hidden="false" customHeight="false" outlineLevel="0" collapsed="false">
      <c r="A8" s="12" t="s">
        <v>31</v>
      </c>
      <c r="B8" s="13" t="s">
        <v>19</v>
      </c>
      <c r="C8" s="14" t="s">
        <v>32</v>
      </c>
      <c r="D8" s="12" t="s">
        <v>21</v>
      </c>
      <c r="E8" s="15" t="s">
        <v>22</v>
      </c>
      <c r="F8" s="16" t="n">
        <v>46223</v>
      </c>
      <c r="G8" s="16" t="n">
        <v>46224</v>
      </c>
      <c r="H8" s="12" t="n">
        <f aca="false">NETWORKDAYS(F8,G8)</f>
        <v>2</v>
      </c>
      <c r="I8" s="16" t="n">
        <v>46224</v>
      </c>
      <c r="J8" s="16" t="n">
        <v>46224</v>
      </c>
      <c r="K8" s="12" t="str">
        <f aca="false">IF(G8="","",CHOOSE(MONTH(G8),"Jan","Feb","Mar","Apr","Mei","Jun","Jul","Agu","Sep","Okt","Nov","Des")&amp;" "&amp;YEAR(G8))</f>
        <v>Jul 2026</v>
      </c>
      <c r="L8" s="17" t="n">
        <v>0.0192307692307692</v>
      </c>
      <c r="M8" s="18" t="n">
        <v>1</v>
      </c>
      <c r="N8" s="19" t="n">
        <f aca="false">L8*M8</f>
        <v>0.0192307692307692</v>
      </c>
      <c r="O8" s="12" t="s">
        <v>23</v>
      </c>
      <c r="P8" s="14" t="s">
        <v>33</v>
      </c>
    </row>
    <row r="9" customFormat="false" ht="15" hidden="false" customHeight="false" outlineLevel="0" collapsed="false">
      <c r="A9" s="4" t="s">
        <v>34</v>
      </c>
      <c r="B9" s="5" t="s">
        <v>35</v>
      </c>
      <c r="C9" s="6" t="s">
        <v>36</v>
      </c>
      <c r="D9" s="4" t="s">
        <v>37</v>
      </c>
      <c r="E9" s="7" t="s">
        <v>22</v>
      </c>
      <c r="F9" s="8" t="n">
        <v>46209</v>
      </c>
      <c r="G9" s="8" t="n">
        <v>46212</v>
      </c>
      <c r="H9" s="4" t="n">
        <f aca="false">NETWORKDAYS(F9,G9)</f>
        <v>4</v>
      </c>
      <c r="I9" s="8" t="n">
        <v>46252</v>
      </c>
      <c r="J9" s="8" t="n">
        <v>46252</v>
      </c>
      <c r="K9" s="4" t="str">
        <f aca="false">IF(G9="","",CHOOSE(MONTH(G9),"Jan","Feb","Mar","Apr","Mei","Jun","Jul","Agu","Sep","Okt","Nov","Des")&amp;" "&amp;YEAR(G9))</f>
        <v>Jul 2026</v>
      </c>
      <c r="L9" s="9" t="n">
        <v>0.0192307692307692</v>
      </c>
      <c r="M9" s="10" t="n">
        <v>1</v>
      </c>
      <c r="N9" s="11" t="n">
        <f aca="false">L9*M9</f>
        <v>0.0192307692307692</v>
      </c>
      <c r="O9" s="4" t="s">
        <v>23</v>
      </c>
      <c r="P9" s="6" t="s">
        <v>38</v>
      </c>
    </row>
    <row r="10" customFormat="false" ht="15" hidden="false" customHeight="false" outlineLevel="0" collapsed="false">
      <c r="A10" s="12" t="s">
        <v>39</v>
      </c>
      <c r="B10" s="13" t="s">
        <v>35</v>
      </c>
      <c r="C10" s="14" t="s">
        <v>40</v>
      </c>
      <c r="D10" s="12" t="s">
        <v>37</v>
      </c>
      <c r="E10" s="15" t="s">
        <v>22</v>
      </c>
      <c r="F10" s="16" t="n">
        <v>46213</v>
      </c>
      <c r="G10" s="16" t="n">
        <v>46213</v>
      </c>
      <c r="H10" s="12" t="n">
        <f aca="false">NETWORKDAYS(F10,G10)</f>
        <v>1</v>
      </c>
      <c r="I10" s="16" t="n">
        <v>46252</v>
      </c>
      <c r="J10" s="16" t="n">
        <v>46252</v>
      </c>
      <c r="K10" s="12" t="str">
        <f aca="false">IF(G10="","",CHOOSE(MONTH(G10),"Jan","Feb","Mar","Apr","Mei","Jun","Jul","Agu","Sep","Okt","Nov","Des")&amp;" "&amp;YEAR(G10))</f>
        <v>Jul 2026</v>
      </c>
      <c r="L10" s="17" t="n">
        <v>0.0192307692307692</v>
      </c>
      <c r="M10" s="18" t="n">
        <v>1</v>
      </c>
      <c r="N10" s="19" t="n">
        <f aca="false">L10*M10</f>
        <v>0.0192307692307692</v>
      </c>
      <c r="O10" s="12" t="s">
        <v>23</v>
      </c>
      <c r="P10" s="14" t="s">
        <v>41</v>
      </c>
    </row>
    <row r="11" customFormat="false" ht="15" hidden="false" customHeight="false" outlineLevel="0" collapsed="false">
      <c r="A11" s="4" t="s">
        <v>42</v>
      </c>
      <c r="B11" s="5" t="s">
        <v>35</v>
      </c>
      <c r="C11" s="6" t="s">
        <v>43</v>
      </c>
      <c r="D11" s="4" t="s">
        <v>37</v>
      </c>
      <c r="E11" s="7" t="s">
        <v>22</v>
      </c>
      <c r="F11" s="8" t="n">
        <v>46216</v>
      </c>
      <c r="G11" s="8" t="n">
        <v>46217</v>
      </c>
      <c r="H11" s="4" t="n">
        <f aca="false">NETWORKDAYS(F11,G11)</f>
        <v>2</v>
      </c>
      <c r="I11" s="8" t="n">
        <v>46252</v>
      </c>
      <c r="J11" s="8" t="n">
        <v>46252</v>
      </c>
      <c r="K11" s="4" t="str">
        <f aca="false">IF(G11="","",CHOOSE(MONTH(G11),"Jan","Feb","Mar","Apr","Mei","Jun","Jul","Agu","Sep","Okt","Nov","Des")&amp;" "&amp;YEAR(G11))</f>
        <v>Jul 2026</v>
      </c>
      <c r="L11" s="9" t="n">
        <v>0.0192307692307692</v>
      </c>
      <c r="M11" s="10" t="n">
        <v>1</v>
      </c>
      <c r="N11" s="11" t="n">
        <f aca="false">L11*M11</f>
        <v>0.0192307692307692</v>
      </c>
      <c r="O11" s="4" t="s">
        <v>23</v>
      </c>
      <c r="P11" s="6" t="s">
        <v>44</v>
      </c>
    </row>
    <row r="12" customFormat="false" ht="15" hidden="false" customHeight="false" outlineLevel="0" collapsed="false">
      <c r="A12" s="12" t="s">
        <v>45</v>
      </c>
      <c r="B12" s="13" t="s">
        <v>35</v>
      </c>
      <c r="C12" s="14" t="s">
        <v>46</v>
      </c>
      <c r="D12" s="12" t="s">
        <v>21</v>
      </c>
      <c r="E12" s="15" t="s">
        <v>22</v>
      </c>
      <c r="F12" s="16" t="n">
        <v>46218</v>
      </c>
      <c r="G12" s="16" t="n">
        <v>46220</v>
      </c>
      <c r="H12" s="12" t="n">
        <f aca="false">NETWORKDAYS(F12,G12)</f>
        <v>3</v>
      </c>
      <c r="I12" s="16" t="n">
        <v>46252</v>
      </c>
      <c r="J12" s="16" t="n">
        <v>46252</v>
      </c>
      <c r="K12" s="12" t="str">
        <f aca="false">IF(G12="","",CHOOSE(MONTH(G12),"Jan","Feb","Mar","Apr","Mei","Jun","Jul","Agu","Sep","Okt","Nov","Des")&amp;" "&amp;YEAR(G12))</f>
        <v>Jul 2026</v>
      </c>
      <c r="L12" s="17" t="n">
        <v>0.0192307692307692</v>
      </c>
      <c r="M12" s="18" t="n">
        <v>1</v>
      </c>
      <c r="N12" s="19" t="n">
        <f aca="false">L12*M12</f>
        <v>0.0192307692307692</v>
      </c>
      <c r="O12" s="12" t="s">
        <v>23</v>
      </c>
      <c r="P12" s="14" t="s">
        <v>47</v>
      </c>
    </row>
    <row r="13" customFormat="false" ht="15" hidden="false" customHeight="false" outlineLevel="0" collapsed="false">
      <c r="A13" s="4" t="s">
        <v>48</v>
      </c>
      <c r="B13" s="5" t="s">
        <v>49</v>
      </c>
      <c r="C13" s="6" t="s">
        <v>50</v>
      </c>
      <c r="D13" s="4" t="s">
        <v>37</v>
      </c>
      <c r="E13" s="7" t="s">
        <v>22</v>
      </c>
      <c r="F13" s="8" t="n">
        <v>46223</v>
      </c>
      <c r="G13" s="8" t="n">
        <v>46225</v>
      </c>
      <c r="H13" s="4" t="n">
        <f aca="false">NETWORKDAYS(F13,G13)</f>
        <v>3</v>
      </c>
      <c r="I13" s="8" t="n">
        <v>46252</v>
      </c>
      <c r="J13" s="8" t="n">
        <v>46252</v>
      </c>
      <c r="K13" s="4" t="str">
        <f aca="false">IF(G13="","",CHOOSE(MONTH(G13),"Jan","Feb","Mar","Apr","Mei","Jun","Jul","Agu","Sep","Okt","Nov","Des")&amp;" "&amp;YEAR(G13))</f>
        <v>Jul 2026</v>
      </c>
      <c r="L13" s="9" t="n">
        <v>0.0192307692307692</v>
      </c>
      <c r="M13" s="10" t="n">
        <v>1</v>
      </c>
      <c r="N13" s="11" t="n">
        <f aca="false">L13*M13</f>
        <v>0.0192307692307692</v>
      </c>
      <c r="O13" s="4" t="s">
        <v>23</v>
      </c>
      <c r="P13" s="6" t="s">
        <v>51</v>
      </c>
    </row>
    <row r="14" customFormat="false" ht="15" hidden="false" customHeight="false" outlineLevel="0" collapsed="false">
      <c r="A14" s="12" t="s">
        <v>52</v>
      </c>
      <c r="B14" s="13" t="s">
        <v>49</v>
      </c>
      <c r="C14" s="14" t="s">
        <v>53</v>
      </c>
      <c r="D14" s="12" t="s">
        <v>37</v>
      </c>
      <c r="E14" s="15" t="s">
        <v>22</v>
      </c>
      <c r="F14" s="16" t="n">
        <v>46226</v>
      </c>
      <c r="G14" s="16" t="n">
        <v>46227</v>
      </c>
      <c r="H14" s="12" t="n">
        <f aca="false">NETWORKDAYS(F14,G14)</f>
        <v>2</v>
      </c>
      <c r="I14" s="16" t="n">
        <v>46252</v>
      </c>
      <c r="J14" s="16" t="n">
        <v>46252</v>
      </c>
      <c r="K14" s="12" t="str">
        <f aca="false">IF(G14="","",CHOOSE(MONTH(G14),"Jan","Feb","Mar","Apr","Mei","Jun","Jul","Agu","Sep","Okt","Nov","Des")&amp;" "&amp;YEAR(G14))</f>
        <v>Jul 2026</v>
      </c>
      <c r="L14" s="17" t="n">
        <v>0.0192307692307692</v>
      </c>
      <c r="M14" s="18" t="n">
        <v>1</v>
      </c>
      <c r="N14" s="19" t="n">
        <f aca="false">L14*M14</f>
        <v>0.0192307692307692</v>
      </c>
      <c r="O14" s="12" t="s">
        <v>23</v>
      </c>
      <c r="P14" s="14" t="s">
        <v>54</v>
      </c>
    </row>
    <row r="15" customFormat="false" ht="15" hidden="false" customHeight="false" outlineLevel="0" collapsed="false">
      <c r="A15" s="4" t="s">
        <v>55</v>
      </c>
      <c r="B15" s="5" t="s">
        <v>49</v>
      </c>
      <c r="C15" s="6" t="s">
        <v>56</v>
      </c>
      <c r="D15" s="4" t="s">
        <v>37</v>
      </c>
      <c r="E15" s="7" t="s">
        <v>22</v>
      </c>
      <c r="F15" s="8" t="n">
        <v>46230</v>
      </c>
      <c r="G15" s="8" t="n">
        <v>46232</v>
      </c>
      <c r="H15" s="4" t="n">
        <f aca="false">NETWORKDAYS(F15,G15)</f>
        <v>3</v>
      </c>
      <c r="I15" s="8" t="n">
        <v>46252</v>
      </c>
      <c r="J15" s="8" t="n">
        <v>46252</v>
      </c>
      <c r="K15" s="4" t="str">
        <f aca="false">IF(G15="","",CHOOSE(MONTH(G15),"Jan","Feb","Mar","Apr","Mei","Jun","Jul","Agu","Sep","Okt","Nov","Des")&amp;" "&amp;YEAR(G15))</f>
        <v>Jul 2026</v>
      </c>
      <c r="L15" s="9" t="n">
        <v>0.0192307692307692</v>
      </c>
      <c r="M15" s="10" t="n">
        <v>1</v>
      </c>
      <c r="N15" s="11" t="n">
        <f aca="false">L15*M15</f>
        <v>0.0192307692307692</v>
      </c>
      <c r="O15" s="4" t="s">
        <v>23</v>
      </c>
      <c r="P15" s="6" t="s">
        <v>57</v>
      </c>
    </row>
    <row r="16" customFormat="false" ht="22.35" hidden="false" customHeight="false" outlineLevel="0" collapsed="false">
      <c r="A16" s="12" t="s">
        <v>58</v>
      </c>
      <c r="B16" s="13" t="s">
        <v>49</v>
      </c>
      <c r="C16" s="14" t="s">
        <v>59</v>
      </c>
      <c r="D16" s="12" t="s">
        <v>37</v>
      </c>
      <c r="E16" s="15" t="s">
        <v>22</v>
      </c>
      <c r="F16" s="16" t="n">
        <v>46232</v>
      </c>
      <c r="G16" s="16" t="n">
        <v>46232</v>
      </c>
      <c r="H16" s="12" t="n">
        <f aca="false">NETWORKDAYS(F16,G16)</f>
        <v>1</v>
      </c>
      <c r="I16" s="16" t="n">
        <v>46252</v>
      </c>
      <c r="J16" s="16" t="n">
        <v>46252</v>
      </c>
      <c r="K16" s="12" t="str">
        <f aca="false">IF(G16="","",CHOOSE(MONTH(G16),"Jan","Feb","Mar","Apr","Mei","Jun","Jul","Agu","Sep","Okt","Nov","Des")&amp;" "&amp;YEAR(G16))</f>
        <v>Jul 2026</v>
      </c>
      <c r="L16" s="17" t="n">
        <v>0.0192307692307692</v>
      </c>
      <c r="M16" s="18" t="n">
        <v>1</v>
      </c>
      <c r="N16" s="19" t="n">
        <f aca="false">L16*M16</f>
        <v>0.0192307692307692</v>
      </c>
      <c r="O16" s="12" t="s">
        <v>23</v>
      </c>
      <c r="P16" s="14" t="s">
        <v>60</v>
      </c>
    </row>
    <row r="17" customFormat="false" ht="15" hidden="false" customHeight="false" outlineLevel="0" collapsed="false">
      <c r="A17" s="4" t="s">
        <v>61</v>
      </c>
      <c r="B17" s="5" t="s">
        <v>49</v>
      </c>
      <c r="C17" s="6" t="s">
        <v>62</v>
      </c>
      <c r="D17" s="4" t="s">
        <v>37</v>
      </c>
      <c r="E17" s="7" t="s">
        <v>22</v>
      </c>
      <c r="F17" s="8" t="n">
        <v>46232</v>
      </c>
      <c r="G17" s="8" t="n">
        <v>46232</v>
      </c>
      <c r="H17" s="4" t="n">
        <f aca="false">NETWORKDAYS(F17,G17)</f>
        <v>1</v>
      </c>
      <c r="I17" s="8" t="n">
        <v>46252</v>
      </c>
      <c r="J17" s="8" t="n">
        <v>46252</v>
      </c>
      <c r="K17" s="4" t="str">
        <f aca="false">IF(G17="","",CHOOSE(MONTH(G17),"Jan","Feb","Mar","Apr","Mei","Jun","Jul","Agu","Sep","Okt","Nov","Des")&amp;" "&amp;YEAR(G17))</f>
        <v>Jul 2026</v>
      </c>
      <c r="L17" s="9" t="n">
        <v>0.0192307692307692</v>
      </c>
      <c r="M17" s="10" t="n">
        <v>1</v>
      </c>
      <c r="N17" s="11" t="n">
        <f aca="false">L17*M17</f>
        <v>0.0192307692307692</v>
      </c>
      <c r="O17" s="4" t="s">
        <v>23</v>
      </c>
      <c r="P17" s="6" t="s">
        <v>63</v>
      </c>
    </row>
    <row r="18" customFormat="false" ht="15" hidden="false" customHeight="false" outlineLevel="0" collapsed="false">
      <c r="A18" s="12" t="s">
        <v>64</v>
      </c>
      <c r="B18" s="13" t="s">
        <v>49</v>
      </c>
      <c r="C18" s="14" t="s">
        <v>65</v>
      </c>
      <c r="D18" s="12" t="s">
        <v>37</v>
      </c>
      <c r="E18" s="15" t="s">
        <v>22</v>
      </c>
      <c r="F18" s="16" t="n">
        <v>46233</v>
      </c>
      <c r="G18" s="16" t="n">
        <v>46233</v>
      </c>
      <c r="H18" s="12" t="n">
        <f aca="false">NETWORKDAYS(F18,G18)</f>
        <v>1</v>
      </c>
      <c r="I18" s="16" t="n">
        <v>46252</v>
      </c>
      <c r="J18" s="16" t="n">
        <v>46252</v>
      </c>
      <c r="K18" s="12" t="str">
        <f aca="false">IF(G18="","",CHOOSE(MONTH(G18),"Jan","Feb","Mar","Apr","Mei","Jun","Jul","Agu","Sep","Okt","Nov","Des")&amp;" "&amp;YEAR(G18))</f>
        <v>Jul 2026</v>
      </c>
      <c r="L18" s="17" t="n">
        <v>0.0192307692307692</v>
      </c>
      <c r="M18" s="18" t="n">
        <v>1</v>
      </c>
      <c r="N18" s="19" t="n">
        <f aca="false">L18*M18</f>
        <v>0.0192307692307692</v>
      </c>
      <c r="O18" s="12" t="s">
        <v>23</v>
      </c>
      <c r="P18" s="14" t="s">
        <v>66</v>
      </c>
    </row>
    <row r="19" customFormat="false" ht="15" hidden="false" customHeight="false" outlineLevel="0" collapsed="false">
      <c r="A19" s="4" t="s">
        <v>67</v>
      </c>
      <c r="B19" s="5" t="s">
        <v>49</v>
      </c>
      <c r="C19" s="6" t="s">
        <v>68</v>
      </c>
      <c r="D19" s="4" t="s">
        <v>37</v>
      </c>
      <c r="E19" s="7" t="s">
        <v>22</v>
      </c>
      <c r="F19" s="8" t="n">
        <v>46233</v>
      </c>
      <c r="G19" s="8" t="n">
        <v>46233</v>
      </c>
      <c r="H19" s="4" t="n">
        <f aca="false">NETWORKDAYS(F19,G19)</f>
        <v>1</v>
      </c>
      <c r="I19" s="8" t="n">
        <v>46252</v>
      </c>
      <c r="J19" s="8" t="n">
        <v>46252</v>
      </c>
      <c r="K19" s="4" t="str">
        <f aca="false">IF(G19="","",CHOOSE(MONTH(G19),"Jan","Feb","Mar","Apr","Mei","Jun","Jul","Agu","Sep","Okt","Nov","Des")&amp;" "&amp;YEAR(G19))</f>
        <v>Jul 2026</v>
      </c>
      <c r="L19" s="9" t="n">
        <v>0.0192307692307692</v>
      </c>
      <c r="M19" s="10" t="n">
        <v>1</v>
      </c>
      <c r="N19" s="11" t="n">
        <f aca="false">L19*M19</f>
        <v>0.0192307692307692</v>
      </c>
      <c r="O19" s="4" t="s">
        <v>23</v>
      </c>
      <c r="P19" s="6" t="s">
        <v>69</v>
      </c>
    </row>
    <row r="20" customFormat="false" ht="15" hidden="false" customHeight="false" outlineLevel="0" collapsed="false">
      <c r="A20" s="12" t="s">
        <v>70</v>
      </c>
      <c r="B20" s="13" t="s">
        <v>49</v>
      </c>
      <c r="C20" s="14" t="s">
        <v>71</v>
      </c>
      <c r="D20" s="12" t="s">
        <v>37</v>
      </c>
      <c r="E20" s="15" t="s">
        <v>22</v>
      </c>
      <c r="F20" s="16" t="n">
        <v>46234</v>
      </c>
      <c r="G20" s="16" t="n">
        <v>46234</v>
      </c>
      <c r="H20" s="12" t="n">
        <f aca="false">NETWORKDAYS(F20,G20)</f>
        <v>1</v>
      </c>
      <c r="I20" s="16" t="n">
        <v>46252</v>
      </c>
      <c r="J20" s="16" t="n">
        <v>46252</v>
      </c>
      <c r="K20" s="12" t="str">
        <f aca="false">IF(G20="","",CHOOSE(MONTH(G20),"Jan","Feb","Mar","Apr","Mei","Jun","Jul","Agu","Sep","Okt","Nov","Des")&amp;" "&amp;YEAR(G20))</f>
        <v>Jul 2026</v>
      </c>
      <c r="L20" s="17" t="n">
        <v>0.0192307692307692</v>
      </c>
      <c r="M20" s="18" t="n">
        <v>1</v>
      </c>
      <c r="N20" s="19" t="n">
        <f aca="false">L20*M20</f>
        <v>0.0192307692307692</v>
      </c>
      <c r="O20" s="12" t="s">
        <v>23</v>
      </c>
      <c r="P20" s="14" t="s">
        <v>72</v>
      </c>
    </row>
    <row r="21" customFormat="false" ht="15" hidden="false" customHeight="false" outlineLevel="0" collapsed="false">
      <c r="A21" s="4" t="s">
        <v>73</v>
      </c>
      <c r="B21" s="5" t="s">
        <v>49</v>
      </c>
      <c r="C21" s="6" t="s">
        <v>74</v>
      </c>
      <c r="D21" s="4" t="s">
        <v>37</v>
      </c>
      <c r="E21" s="7" t="s">
        <v>22</v>
      </c>
      <c r="F21" s="8" t="n">
        <v>46237</v>
      </c>
      <c r="G21" s="8" t="n">
        <v>46239</v>
      </c>
      <c r="H21" s="4" t="n">
        <f aca="false">NETWORKDAYS(F21,G21)</f>
        <v>3</v>
      </c>
      <c r="I21" s="8" t="n">
        <v>46252</v>
      </c>
      <c r="J21" s="8" t="n">
        <v>46252</v>
      </c>
      <c r="K21" s="4" t="str">
        <f aca="false">IF(G21="","",CHOOSE(MONTH(G21),"Jan","Feb","Mar","Apr","Mei","Jun","Jul","Agu","Sep","Okt","Nov","Des")&amp;" "&amp;YEAR(G21))</f>
        <v>Agu 2026</v>
      </c>
      <c r="L21" s="9" t="n">
        <v>0.0192307692307692</v>
      </c>
      <c r="M21" s="10" t="n">
        <v>1</v>
      </c>
      <c r="N21" s="11" t="n">
        <f aca="false">L21*M21</f>
        <v>0.0192307692307692</v>
      </c>
      <c r="O21" s="4" t="s">
        <v>23</v>
      </c>
      <c r="P21" s="6" t="s">
        <v>75</v>
      </c>
    </row>
    <row r="22" customFormat="false" ht="15" hidden="false" customHeight="false" outlineLevel="0" collapsed="false">
      <c r="A22" s="12" t="s">
        <v>76</v>
      </c>
      <c r="B22" s="13" t="s">
        <v>77</v>
      </c>
      <c r="C22" s="14" t="s">
        <v>78</v>
      </c>
      <c r="D22" s="12" t="s">
        <v>37</v>
      </c>
      <c r="E22" s="15" t="s">
        <v>22</v>
      </c>
      <c r="F22" s="16" t="n">
        <v>46244</v>
      </c>
      <c r="G22" s="16" t="n">
        <v>46244</v>
      </c>
      <c r="H22" s="12" t="n">
        <f aca="false">NETWORKDAYS(F22,G22)</f>
        <v>1</v>
      </c>
      <c r="I22" s="16" t="n">
        <v>46252</v>
      </c>
      <c r="J22" s="16" t="n">
        <v>46252</v>
      </c>
      <c r="K22" s="12" t="str">
        <f aca="false">IF(G22="","",CHOOSE(MONTH(G22),"Jan","Feb","Mar","Apr","Mei","Jun","Jul","Agu","Sep","Okt","Nov","Des")&amp;" "&amp;YEAR(G22))</f>
        <v>Agu 2026</v>
      </c>
      <c r="L22" s="17" t="n">
        <v>0.0192307692307692</v>
      </c>
      <c r="M22" s="18" t="n">
        <v>1</v>
      </c>
      <c r="N22" s="19" t="n">
        <f aca="false">L22*M22</f>
        <v>0.0192307692307692</v>
      </c>
      <c r="O22" s="12" t="s">
        <v>23</v>
      </c>
      <c r="P22" s="14" t="s">
        <v>79</v>
      </c>
    </row>
    <row r="23" customFormat="false" ht="15" hidden="false" customHeight="false" outlineLevel="0" collapsed="false">
      <c r="A23" s="4" t="s">
        <v>80</v>
      </c>
      <c r="B23" s="5" t="s">
        <v>77</v>
      </c>
      <c r="C23" s="6" t="s">
        <v>81</v>
      </c>
      <c r="D23" s="4" t="s">
        <v>37</v>
      </c>
      <c r="E23" s="7" t="s">
        <v>22</v>
      </c>
      <c r="F23" s="8" t="n">
        <v>46245</v>
      </c>
      <c r="G23" s="8" t="n">
        <v>46245</v>
      </c>
      <c r="H23" s="4" t="n">
        <f aca="false">NETWORKDAYS(F23,G23)</f>
        <v>1</v>
      </c>
      <c r="I23" s="8" t="n">
        <v>46252</v>
      </c>
      <c r="J23" s="8" t="n">
        <v>46252</v>
      </c>
      <c r="K23" s="4" t="str">
        <f aca="false">IF(G23="","",CHOOSE(MONTH(G23),"Jan","Feb","Mar","Apr","Mei","Jun","Jul","Agu","Sep","Okt","Nov","Des")&amp;" "&amp;YEAR(G23))</f>
        <v>Agu 2026</v>
      </c>
      <c r="L23" s="9" t="n">
        <v>0.0192307692307692</v>
      </c>
      <c r="M23" s="10" t="n">
        <v>1</v>
      </c>
      <c r="N23" s="11" t="n">
        <f aca="false">L23*M23</f>
        <v>0.0192307692307692</v>
      </c>
      <c r="O23" s="4" t="s">
        <v>23</v>
      </c>
      <c r="P23" s="6" t="s">
        <v>82</v>
      </c>
    </row>
    <row r="24" customFormat="false" ht="15" hidden="false" customHeight="false" outlineLevel="0" collapsed="false">
      <c r="A24" s="12" t="s">
        <v>83</v>
      </c>
      <c r="B24" s="13" t="s">
        <v>77</v>
      </c>
      <c r="C24" s="14" t="s">
        <v>84</v>
      </c>
      <c r="D24" s="12" t="s">
        <v>37</v>
      </c>
      <c r="E24" s="15" t="s">
        <v>22</v>
      </c>
      <c r="F24" s="16" t="n">
        <v>46246</v>
      </c>
      <c r="G24" s="16" t="n">
        <v>46246</v>
      </c>
      <c r="H24" s="12" t="n">
        <f aca="false">NETWORKDAYS(F24,G24)</f>
        <v>1</v>
      </c>
      <c r="I24" s="16" t="n">
        <v>46252</v>
      </c>
      <c r="J24" s="16" t="n">
        <v>46252</v>
      </c>
      <c r="K24" s="12" t="str">
        <f aca="false">IF(G24="","",CHOOSE(MONTH(G24),"Jan","Feb","Mar","Apr","Mei","Jun","Jul","Agu","Sep","Okt","Nov","Des")&amp;" "&amp;YEAR(G24))</f>
        <v>Agu 2026</v>
      </c>
      <c r="L24" s="17" t="n">
        <v>0.0192307692307692</v>
      </c>
      <c r="M24" s="18" t="n">
        <v>1</v>
      </c>
      <c r="N24" s="19" t="n">
        <f aca="false">L24*M24</f>
        <v>0.0192307692307692</v>
      </c>
      <c r="O24" s="12" t="s">
        <v>23</v>
      </c>
      <c r="P24" s="14" t="s">
        <v>85</v>
      </c>
    </row>
    <row r="25" customFormat="false" ht="15" hidden="false" customHeight="false" outlineLevel="0" collapsed="false">
      <c r="A25" s="4" t="s">
        <v>86</v>
      </c>
      <c r="B25" s="5" t="s">
        <v>77</v>
      </c>
      <c r="C25" s="6" t="s">
        <v>87</v>
      </c>
      <c r="D25" s="4" t="s">
        <v>37</v>
      </c>
      <c r="E25" s="7" t="s">
        <v>22</v>
      </c>
      <c r="F25" s="8" t="n">
        <v>46247</v>
      </c>
      <c r="G25" s="8" t="n">
        <v>46248</v>
      </c>
      <c r="H25" s="4" t="n">
        <f aca="false">NETWORKDAYS(F25,G25)</f>
        <v>2</v>
      </c>
      <c r="I25" s="8" t="n">
        <v>46252</v>
      </c>
      <c r="J25" s="8" t="n">
        <v>46252</v>
      </c>
      <c r="K25" s="4" t="str">
        <f aca="false">IF(G25="","",CHOOSE(MONTH(G25),"Jan","Feb","Mar","Apr","Mei","Jun","Jul","Agu","Sep","Okt","Nov","Des")&amp;" "&amp;YEAR(G25))</f>
        <v>Agu 2026</v>
      </c>
      <c r="L25" s="9" t="n">
        <v>0.0192307692307692</v>
      </c>
      <c r="M25" s="10" t="n">
        <v>1</v>
      </c>
      <c r="N25" s="11" t="n">
        <f aca="false">L25*M25</f>
        <v>0.0192307692307692</v>
      </c>
      <c r="O25" s="4" t="s">
        <v>23</v>
      </c>
      <c r="P25" s="6" t="s">
        <v>88</v>
      </c>
    </row>
    <row r="26" customFormat="false" ht="15" hidden="false" customHeight="false" outlineLevel="0" collapsed="false">
      <c r="A26" s="12" t="s">
        <v>89</v>
      </c>
      <c r="B26" s="13" t="s">
        <v>90</v>
      </c>
      <c r="C26" s="14" t="s">
        <v>91</v>
      </c>
      <c r="D26" s="12" t="s">
        <v>37</v>
      </c>
      <c r="E26" s="15" t="s">
        <v>22</v>
      </c>
      <c r="F26" s="16" t="n">
        <v>46251</v>
      </c>
      <c r="G26" s="16" t="n">
        <v>46252</v>
      </c>
      <c r="H26" s="12" t="n">
        <f aca="false">NETWORKDAYS(F26,G26)</f>
        <v>2</v>
      </c>
      <c r="I26" s="16" t="n">
        <v>46252</v>
      </c>
      <c r="J26" s="16" t="n">
        <v>46252</v>
      </c>
      <c r="K26" s="12" t="str">
        <f aca="false">IF(G26="","",CHOOSE(MONTH(G26),"Jan","Feb","Mar","Apr","Mei","Jun","Jul","Agu","Sep","Okt","Nov","Des")&amp;" "&amp;YEAR(G26))</f>
        <v>Agu 2026</v>
      </c>
      <c r="L26" s="17" t="n">
        <v>0.0192307692307692</v>
      </c>
      <c r="M26" s="18" t="n">
        <v>1</v>
      </c>
      <c r="N26" s="19" t="n">
        <f aca="false">L26*M26</f>
        <v>0.0192307692307692</v>
      </c>
      <c r="O26" s="12" t="s">
        <v>23</v>
      </c>
      <c r="P26" s="14" t="s">
        <v>92</v>
      </c>
    </row>
    <row r="27" customFormat="false" ht="15" hidden="false" customHeight="false" outlineLevel="0" collapsed="false">
      <c r="A27" s="4" t="s">
        <v>93</v>
      </c>
      <c r="B27" s="5" t="s">
        <v>90</v>
      </c>
      <c r="C27" s="6" t="s">
        <v>94</v>
      </c>
      <c r="D27" s="4" t="s">
        <v>37</v>
      </c>
      <c r="E27" s="7" t="s">
        <v>22</v>
      </c>
      <c r="F27" s="8" t="n">
        <v>46252</v>
      </c>
      <c r="G27" s="8" t="n">
        <v>46253</v>
      </c>
      <c r="H27" s="4" t="n">
        <f aca="false">NETWORKDAYS(F27,G27)</f>
        <v>2</v>
      </c>
      <c r="I27" s="8" t="n">
        <v>46252</v>
      </c>
      <c r="J27" s="8" t="n">
        <v>46252</v>
      </c>
      <c r="K27" s="4" t="str">
        <f aca="false">IF(G27="","",CHOOSE(MONTH(G27),"Jan","Feb","Mar","Apr","Mei","Jun","Jul","Agu","Sep","Okt","Nov","Des")&amp;" "&amp;YEAR(G27))</f>
        <v>Agu 2026</v>
      </c>
      <c r="L27" s="9" t="n">
        <v>0.0192307692307692</v>
      </c>
      <c r="M27" s="10" t="n">
        <v>1</v>
      </c>
      <c r="N27" s="11" t="n">
        <f aca="false">L27*M27</f>
        <v>0.0192307692307692</v>
      </c>
      <c r="O27" s="4" t="s">
        <v>23</v>
      </c>
      <c r="P27" s="6" t="s">
        <v>95</v>
      </c>
    </row>
    <row r="28" customFormat="false" ht="15" hidden="false" customHeight="false" outlineLevel="0" collapsed="false">
      <c r="A28" s="12" t="s">
        <v>96</v>
      </c>
      <c r="B28" s="13" t="s">
        <v>90</v>
      </c>
      <c r="C28" s="14" t="s">
        <v>97</v>
      </c>
      <c r="D28" s="12" t="s">
        <v>37</v>
      </c>
      <c r="E28" s="15" t="s">
        <v>22</v>
      </c>
      <c r="F28" s="16" t="n">
        <v>46254</v>
      </c>
      <c r="G28" s="16" t="n">
        <v>46255</v>
      </c>
      <c r="H28" s="12" t="n">
        <f aca="false">NETWORKDAYS(F28,G28)</f>
        <v>2</v>
      </c>
      <c r="I28" s="16" t="n">
        <v>46252</v>
      </c>
      <c r="J28" s="16" t="n">
        <v>46252</v>
      </c>
      <c r="K28" s="12" t="str">
        <f aca="false">IF(G28="","",CHOOSE(MONTH(G28),"Jan","Feb","Mar","Apr","Mei","Jun","Jul","Agu","Sep","Okt","Nov","Des")&amp;" "&amp;YEAR(G28))</f>
        <v>Agu 2026</v>
      </c>
      <c r="L28" s="17" t="n">
        <v>0.0192307692307692</v>
      </c>
      <c r="M28" s="18" t="n">
        <v>1</v>
      </c>
      <c r="N28" s="19" t="n">
        <f aca="false">L28*M28</f>
        <v>0.0192307692307692</v>
      </c>
      <c r="O28" s="12" t="s">
        <v>23</v>
      </c>
      <c r="P28" s="14" t="s">
        <v>98</v>
      </c>
    </row>
    <row r="29" customFormat="false" ht="22.35" hidden="false" customHeight="false" outlineLevel="0" collapsed="false">
      <c r="A29" s="4" t="s">
        <v>99</v>
      </c>
      <c r="B29" s="5" t="s">
        <v>100</v>
      </c>
      <c r="C29" s="6" t="s">
        <v>101</v>
      </c>
      <c r="D29" s="4" t="s">
        <v>21</v>
      </c>
      <c r="E29" s="7" t="s">
        <v>22</v>
      </c>
      <c r="F29" s="8" t="n">
        <v>46258</v>
      </c>
      <c r="G29" s="8" t="n">
        <v>46260</v>
      </c>
      <c r="H29" s="4" t="n">
        <f aca="false">NETWORKDAYS(F29,G29)</f>
        <v>3</v>
      </c>
      <c r="I29" s="8" t="n">
        <v>46254</v>
      </c>
      <c r="J29" s="8" t="n">
        <v>46254</v>
      </c>
      <c r="K29" s="4" t="str">
        <f aca="false">IF(G29="","",CHOOSE(MONTH(G29),"Jan","Feb","Mar","Apr","Mei","Jun","Jul","Agu","Sep","Okt","Nov","Des")&amp;" "&amp;YEAR(G29))</f>
        <v>Agu 2026</v>
      </c>
      <c r="L29" s="9" t="n">
        <v>0.0192307692307692</v>
      </c>
      <c r="M29" s="10" t="n">
        <v>1</v>
      </c>
      <c r="N29" s="11" t="n">
        <f aca="false">L29*M29</f>
        <v>0.0192307692307692</v>
      </c>
      <c r="O29" s="4" t="s">
        <v>23</v>
      </c>
      <c r="P29" s="6" t="s">
        <v>102</v>
      </c>
    </row>
    <row r="30" customFormat="false" ht="22.35" hidden="false" customHeight="false" outlineLevel="0" collapsed="false">
      <c r="A30" s="12" t="s">
        <v>103</v>
      </c>
      <c r="B30" s="13" t="s">
        <v>100</v>
      </c>
      <c r="C30" s="14" t="s">
        <v>104</v>
      </c>
      <c r="D30" s="12" t="s">
        <v>21</v>
      </c>
      <c r="E30" s="15" t="s">
        <v>22</v>
      </c>
      <c r="F30" s="16" t="n">
        <v>46261</v>
      </c>
      <c r="G30" s="16" t="n">
        <v>46261</v>
      </c>
      <c r="H30" s="12" t="n">
        <f aca="false">NETWORKDAYS(F30,G30)</f>
        <v>1</v>
      </c>
      <c r="I30" s="16" t="n">
        <v>46254</v>
      </c>
      <c r="J30" s="16" t="n">
        <v>46270</v>
      </c>
      <c r="K30" s="12" t="str">
        <f aca="false">IF(G30="","",CHOOSE(MONTH(G30),"Jan","Feb","Mar","Apr","Mei","Jun","Jul","Agu","Sep","Okt","Nov","Des")&amp;" "&amp;YEAR(G30))</f>
        <v>Agu 2026</v>
      </c>
      <c r="L30" s="17" t="n">
        <v>0.0192307692307692</v>
      </c>
      <c r="M30" s="18" t="n">
        <v>1</v>
      </c>
      <c r="N30" s="19" t="n">
        <f aca="false">L30*M30</f>
        <v>0.0192307692307692</v>
      </c>
      <c r="O30" s="12" t="s">
        <v>23</v>
      </c>
      <c r="P30" s="14" t="s">
        <v>105</v>
      </c>
    </row>
    <row r="31" customFormat="false" ht="22.35" hidden="false" customHeight="false" outlineLevel="0" collapsed="false">
      <c r="A31" s="4" t="s">
        <v>106</v>
      </c>
      <c r="B31" s="5" t="s">
        <v>100</v>
      </c>
      <c r="C31" s="6" t="s">
        <v>107</v>
      </c>
      <c r="D31" s="4" t="s">
        <v>21</v>
      </c>
      <c r="E31" s="7" t="s">
        <v>22</v>
      </c>
      <c r="F31" s="8" t="n">
        <v>46262</v>
      </c>
      <c r="G31" s="8" t="n">
        <v>46267</v>
      </c>
      <c r="H31" s="4" t="n">
        <f aca="false">NETWORKDAYS(F31,G31)</f>
        <v>4</v>
      </c>
      <c r="I31" s="8" t="n">
        <v>46254</v>
      </c>
      <c r="J31" s="8" t="n">
        <v>46270</v>
      </c>
      <c r="K31" s="4" t="str">
        <f aca="false">IF(G31="","",CHOOSE(MONTH(G31),"Jan","Feb","Mar","Apr","Mei","Jun","Jul","Agu","Sep","Okt","Nov","Des")&amp;" "&amp;YEAR(G31))</f>
        <v>Sep 2026</v>
      </c>
      <c r="L31" s="9" t="n">
        <v>0.0192307692307692</v>
      </c>
      <c r="M31" s="10" t="n">
        <v>1</v>
      </c>
      <c r="N31" s="11" t="n">
        <f aca="false">L31*M31</f>
        <v>0.0192307692307692</v>
      </c>
      <c r="O31" s="4" t="s">
        <v>23</v>
      </c>
      <c r="P31" s="6" t="s">
        <v>108</v>
      </c>
    </row>
    <row r="32" customFormat="false" ht="22.35" hidden="false" customHeight="false" outlineLevel="0" collapsed="false">
      <c r="A32" s="12" t="s">
        <v>109</v>
      </c>
      <c r="B32" s="13" t="s">
        <v>100</v>
      </c>
      <c r="C32" s="14" t="s">
        <v>110</v>
      </c>
      <c r="D32" s="12" t="s">
        <v>21</v>
      </c>
      <c r="E32" s="15" t="s">
        <v>22</v>
      </c>
      <c r="F32" s="16" t="n">
        <v>46268</v>
      </c>
      <c r="G32" s="16" t="n">
        <v>46269</v>
      </c>
      <c r="H32" s="12" t="n">
        <f aca="false">NETWORKDAYS(F32,G32)</f>
        <v>2</v>
      </c>
      <c r="I32" s="16" t="n">
        <v>46270</v>
      </c>
      <c r="J32" s="16" t="n">
        <v>46270</v>
      </c>
      <c r="K32" s="12" t="str">
        <f aca="false">IF(G32="","",CHOOSE(MONTH(G32),"Jan","Feb","Mar","Apr","Mei","Jun","Jul","Agu","Sep","Okt","Nov","Des")&amp;" "&amp;YEAR(G32))</f>
        <v>Sep 2026</v>
      </c>
      <c r="L32" s="17" t="n">
        <v>0.0192307692307692</v>
      </c>
      <c r="M32" s="18" t="n">
        <v>1</v>
      </c>
      <c r="N32" s="19" t="n">
        <f aca="false">L32*M32</f>
        <v>0.0192307692307692</v>
      </c>
      <c r="O32" s="12" t="s">
        <v>23</v>
      </c>
      <c r="P32" s="14" t="s">
        <v>111</v>
      </c>
    </row>
    <row r="33" customFormat="false" ht="22.35" hidden="false" customHeight="false" outlineLevel="0" collapsed="false">
      <c r="A33" s="4" t="s">
        <v>112</v>
      </c>
      <c r="B33" s="5" t="s">
        <v>113</v>
      </c>
      <c r="C33" s="6" t="s">
        <v>114</v>
      </c>
      <c r="D33" s="4" t="s">
        <v>21</v>
      </c>
      <c r="E33" s="7" t="s">
        <v>22</v>
      </c>
      <c r="F33" s="8" t="n">
        <v>46272</v>
      </c>
      <c r="G33" s="8" t="n">
        <v>46273</v>
      </c>
      <c r="H33" s="4" t="n">
        <f aca="false">NETWORKDAYS(F33,G33)</f>
        <v>2</v>
      </c>
      <c r="I33" s="8" t="n">
        <v>46270</v>
      </c>
      <c r="J33" s="8" t="n">
        <v>46270</v>
      </c>
      <c r="K33" s="4" t="str">
        <f aca="false">IF(G33="","",CHOOSE(MONTH(G33),"Jan","Feb","Mar","Apr","Mei","Jun","Jul","Agu","Sep","Okt","Nov","Des")&amp;" "&amp;YEAR(G33))</f>
        <v>Sep 2026</v>
      </c>
      <c r="L33" s="9" t="n">
        <v>0.0192307692307692</v>
      </c>
      <c r="M33" s="10" t="n">
        <v>1</v>
      </c>
      <c r="N33" s="11" t="n">
        <f aca="false">L33*M33</f>
        <v>0.0192307692307692</v>
      </c>
      <c r="O33" s="4" t="s">
        <v>23</v>
      </c>
      <c r="P33" s="6" t="s">
        <v>115</v>
      </c>
    </row>
    <row r="34" customFormat="false" ht="22.35" hidden="false" customHeight="false" outlineLevel="0" collapsed="false">
      <c r="A34" s="12" t="s">
        <v>116</v>
      </c>
      <c r="B34" s="13" t="s">
        <v>113</v>
      </c>
      <c r="C34" s="14" t="s">
        <v>117</v>
      </c>
      <c r="D34" s="12" t="s">
        <v>21</v>
      </c>
      <c r="E34" s="15" t="s">
        <v>22</v>
      </c>
      <c r="F34" s="16" t="n">
        <v>46274</v>
      </c>
      <c r="G34" s="16" t="n">
        <v>46275</v>
      </c>
      <c r="H34" s="12" t="n">
        <f aca="false">NETWORKDAYS(F34,G34)</f>
        <v>2</v>
      </c>
      <c r="I34" s="16" t="n">
        <v>46270</v>
      </c>
      <c r="J34" s="16" t="n">
        <v>46270</v>
      </c>
      <c r="K34" s="12" t="str">
        <f aca="false">IF(G34="","",CHOOSE(MONTH(G34),"Jan","Feb","Mar","Apr","Mei","Jun","Jul","Agu","Sep","Okt","Nov","Des")&amp;" "&amp;YEAR(G34))</f>
        <v>Sep 2026</v>
      </c>
      <c r="L34" s="17" t="n">
        <v>0.0192307692307692</v>
      </c>
      <c r="M34" s="18" t="n">
        <v>1</v>
      </c>
      <c r="N34" s="19" t="n">
        <f aca="false">L34*M34</f>
        <v>0.0192307692307692</v>
      </c>
      <c r="O34" s="12" t="s">
        <v>23</v>
      </c>
      <c r="P34" s="14" t="s">
        <v>118</v>
      </c>
    </row>
    <row r="35" customFormat="false" ht="22.35" hidden="false" customHeight="false" outlineLevel="0" collapsed="false">
      <c r="A35" s="4" t="s">
        <v>119</v>
      </c>
      <c r="B35" s="5" t="s">
        <v>113</v>
      </c>
      <c r="C35" s="6" t="s">
        <v>120</v>
      </c>
      <c r="D35" s="4" t="s">
        <v>21</v>
      </c>
      <c r="E35" s="7" t="s">
        <v>22</v>
      </c>
      <c r="F35" s="8" t="n">
        <v>46276</v>
      </c>
      <c r="G35" s="8" t="n">
        <v>46276</v>
      </c>
      <c r="H35" s="4" t="n">
        <f aca="false">NETWORKDAYS(F35,G35)</f>
        <v>1</v>
      </c>
      <c r="I35" s="8" t="n">
        <v>46270</v>
      </c>
      <c r="J35" s="8" t="n">
        <v>46270</v>
      </c>
      <c r="K35" s="4" t="str">
        <f aca="false">IF(G35="","",CHOOSE(MONTH(G35),"Jan","Feb","Mar","Apr","Mei","Jun","Jul","Agu","Sep","Okt","Nov","Des")&amp;" "&amp;YEAR(G35))</f>
        <v>Sep 2026</v>
      </c>
      <c r="L35" s="9" t="n">
        <v>0.0192307692307692</v>
      </c>
      <c r="M35" s="10" t="n">
        <v>1</v>
      </c>
      <c r="N35" s="11" t="n">
        <f aca="false">L35*M35</f>
        <v>0.0192307692307692</v>
      </c>
      <c r="O35" s="4" t="s">
        <v>23</v>
      </c>
      <c r="P35" s="6" t="s">
        <v>121</v>
      </c>
    </row>
    <row r="36" customFormat="false" ht="22.35" hidden="false" customHeight="false" outlineLevel="0" collapsed="false">
      <c r="A36" s="12" t="s">
        <v>122</v>
      </c>
      <c r="B36" s="13" t="s">
        <v>123</v>
      </c>
      <c r="C36" s="14" t="s">
        <v>124</v>
      </c>
      <c r="D36" s="12" t="s">
        <v>37</v>
      </c>
      <c r="E36" s="15" t="s">
        <v>22</v>
      </c>
      <c r="F36" s="16" t="n">
        <v>46279</v>
      </c>
      <c r="G36" s="16" t="n">
        <v>46279</v>
      </c>
      <c r="H36" s="12" t="n">
        <f aca="false">NETWORKDAYS(F36,G36)</f>
        <v>1</v>
      </c>
      <c r="I36" s="16" t="n">
        <v>46270</v>
      </c>
      <c r="J36" s="16" t="n">
        <v>46270</v>
      </c>
      <c r="K36" s="12" t="str">
        <f aca="false">IF(G36="","",CHOOSE(MONTH(G36),"Jan","Feb","Mar","Apr","Mei","Jun","Jul","Agu","Sep","Okt","Nov","Des")&amp;" "&amp;YEAR(G36))</f>
        <v>Sep 2026</v>
      </c>
      <c r="L36" s="17" t="n">
        <v>0.0192307692307692</v>
      </c>
      <c r="M36" s="18" t="n">
        <v>1</v>
      </c>
      <c r="N36" s="19" t="n">
        <f aca="false">L36*M36</f>
        <v>0.0192307692307692</v>
      </c>
      <c r="O36" s="12" t="s">
        <v>23</v>
      </c>
      <c r="P36" s="14" t="s">
        <v>125</v>
      </c>
    </row>
    <row r="37" customFormat="false" ht="15" hidden="false" customHeight="false" outlineLevel="0" collapsed="false">
      <c r="A37" s="4" t="s">
        <v>126</v>
      </c>
      <c r="B37" s="5" t="s">
        <v>123</v>
      </c>
      <c r="C37" s="6" t="s">
        <v>127</v>
      </c>
      <c r="D37" s="4" t="s">
        <v>37</v>
      </c>
      <c r="E37" s="7" t="s">
        <v>22</v>
      </c>
      <c r="F37" s="8" t="n">
        <v>46279</v>
      </c>
      <c r="G37" s="8" t="n">
        <v>46280</v>
      </c>
      <c r="H37" s="4" t="n">
        <f aca="false">NETWORKDAYS(F37,G37)</f>
        <v>2</v>
      </c>
      <c r="I37" s="8" t="n">
        <v>46270</v>
      </c>
      <c r="J37" s="8" t="n">
        <v>46270</v>
      </c>
      <c r="K37" s="4" t="str">
        <f aca="false">IF(G37="","",CHOOSE(MONTH(G37),"Jan","Feb","Mar","Apr","Mei","Jun","Jul","Agu","Sep","Okt","Nov","Des")&amp;" "&amp;YEAR(G37))</f>
        <v>Sep 2026</v>
      </c>
      <c r="L37" s="9" t="n">
        <v>0.0192307692307692</v>
      </c>
      <c r="M37" s="10" t="n">
        <v>1</v>
      </c>
      <c r="N37" s="11" t="n">
        <f aca="false">L37*M37</f>
        <v>0.0192307692307692</v>
      </c>
      <c r="O37" s="4" t="s">
        <v>23</v>
      </c>
      <c r="P37" s="6" t="s">
        <v>128</v>
      </c>
    </row>
    <row r="38" customFormat="false" ht="15" hidden="false" customHeight="false" outlineLevel="0" collapsed="false">
      <c r="A38" s="12" t="s">
        <v>129</v>
      </c>
      <c r="B38" s="13" t="s">
        <v>123</v>
      </c>
      <c r="C38" s="14" t="s">
        <v>130</v>
      </c>
      <c r="D38" s="12" t="s">
        <v>37</v>
      </c>
      <c r="E38" s="15" t="s">
        <v>22</v>
      </c>
      <c r="F38" s="16" t="n">
        <v>46280</v>
      </c>
      <c r="G38" s="16" t="n">
        <v>46280</v>
      </c>
      <c r="H38" s="12" t="n">
        <f aca="false">NETWORKDAYS(F38,G38)</f>
        <v>1</v>
      </c>
      <c r="I38" s="16" t="n">
        <v>46270</v>
      </c>
      <c r="J38" s="16" t="n">
        <v>46270</v>
      </c>
      <c r="K38" s="12" t="str">
        <f aca="false">IF(G38="","",CHOOSE(MONTH(G38),"Jan","Feb","Mar","Apr","Mei","Jun","Jul","Agu","Sep","Okt","Nov","Des")&amp;" "&amp;YEAR(G38))</f>
        <v>Sep 2026</v>
      </c>
      <c r="L38" s="17" t="n">
        <v>0.0192307692307692</v>
      </c>
      <c r="M38" s="18" t="n">
        <v>1</v>
      </c>
      <c r="N38" s="19" t="n">
        <f aca="false">L38*M38</f>
        <v>0.0192307692307692</v>
      </c>
      <c r="O38" s="12" t="s">
        <v>23</v>
      </c>
      <c r="P38" s="14" t="s">
        <v>131</v>
      </c>
    </row>
    <row r="39" customFormat="false" ht="22.35" hidden="false" customHeight="false" outlineLevel="0" collapsed="false">
      <c r="A39" s="4" t="s">
        <v>132</v>
      </c>
      <c r="B39" s="5" t="s">
        <v>123</v>
      </c>
      <c r="C39" s="6" t="s">
        <v>133</v>
      </c>
      <c r="D39" s="4" t="s">
        <v>37</v>
      </c>
      <c r="E39" s="7" t="s">
        <v>22</v>
      </c>
      <c r="F39" s="8" t="n">
        <v>46281</v>
      </c>
      <c r="G39" s="8" t="n">
        <v>46281</v>
      </c>
      <c r="H39" s="4" t="n">
        <f aca="false">NETWORKDAYS(F39,G39)</f>
        <v>1</v>
      </c>
      <c r="I39" s="8" t="n">
        <v>46270</v>
      </c>
      <c r="J39" s="8" t="n">
        <v>46270</v>
      </c>
      <c r="K39" s="4" t="str">
        <f aca="false">IF(G39="","",CHOOSE(MONTH(G39),"Jan","Feb","Mar","Apr","Mei","Jun","Jul","Agu","Sep","Okt","Nov","Des")&amp;" "&amp;YEAR(G39))</f>
        <v>Sep 2026</v>
      </c>
      <c r="L39" s="9" t="n">
        <v>0.0192307692307692</v>
      </c>
      <c r="M39" s="10" t="n">
        <v>1</v>
      </c>
      <c r="N39" s="11" t="n">
        <f aca="false">L39*M39</f>
        <v>0.0192307692307692</v>
      </c>
      <c r="O39" s="4" t="s">
        <v>23</v>
      </c>
      <c r="P39" s="6" t="s">
        <v>134</v>
      </c>
    </row>
    <row r="40" customFormat="false" ht="22.35" hidden="false" customHeight="false" outlineLevel="0" collapsed="false">
      <c r="A40" s="12" t="s">
        <v>135</v>
      </c>
      <c r="B40" s="13" t="s">
        <v>123</v>
      </c>
      <c r="C40" s="14" t="s">
        <v>136</v>
      </c>
      <c r="D40" s="12" t="s">
        <v>37</v>
      </c>
      <c r="E40" s="15" t="s">
        <v>22</v>
      </c>
      <c r="F40" s="16" t="n">
        <v>46281</v>
      </c>
      <c r="G40" s="16" t="n">
        <v>46281</v>
      </c>
      <c r="H40" s="12" t="n">
        <f aca="false">NETWORKDAYS(F40,G40)</f>
        <v>1</v>
      </c>
      <c r="I40" s="16" t="n">
        <v>46270</v>
      </c>
      <c r="J40" s="16" t="n">
        <v>46270</v>
      </c>
      <c r="K40" s="12" t="str">
        <f aca="false">IF(G40="","",CHOOSE(MONTH(G40),"Jan","Feb","Mar","Apr","Mei","Jun","Jul","Agu","Sep","Okt","Nov","Des")&amp;" "&amp;YEAR(G40))</f>
        <v>Sep 2026</v>
      </c>
      <c r="L40" s="17" t="n">
        <v>0.0192307692307692</v>
      </c>
      <c r="M40" s="18" t="n">
        <v>1</v>
      </c>
      <c r="N40" s="19" t="n">
        <f aca="false">L40*M40</f>
        <v>0.0192307692307692</v>
      </c>
      <c r="O40" s="12" t="s">
        <v>23</v>
      </c>
      <c r="P40" s="14" t="s">
        <v>137</v>
      </c>
    </row>
    <row r="41" customFormat="false" ht="22.35" hidden="false" customHeight="false" outlineLevel="0" collapsed="false">
      <c r="A41" s="4" t="s">
        <v>138</v>
      </c>
      <c r="B41" s="5" t="s">
        <v>123</v>
      </c>
      <c r="C41" s="6" t="s">
        <v>139</v>
      </c>
      <c r="D41" s="4" t="s">
        <v>37</v>
      </c>
      <c r="E41" s="20" t="s">
        <v>140</v>
      </c>
      <c r="F41" s="8" t="n">
        <v>46282</v>
      </c>
      <c r="G41" s="8" t="n">
        <v>46282</v>
      </c>
      <c r="H41" s="4" t="n">
        <f aca="false">NETWORKDAYS(F41,G41)</f>
        <v>1</v>
      </c>
      <c r="I41" s="8"/>
      <c r="J41" s="8"/>
      <c r="K41" s="4" t="str">
        <f aca="false">IF(G41="","",CHOOSE(MONTH(G41),"Jan","Feb","Mar","Apr","Mei","Jun","Jul","Agu","Sep","Okt","Nov","Des")&amp;" "&amp;YEAR(G41))</f>
        <v>Sep 2026</v>
      </c>
      <c r="L41" s="9" t="n">
        <v>0.0192307692307692</v>
      </c>
      <c r="M41" s="10" t="n">
        <v>0</v>
      </c>
      <c r="N41" s="11" t="n">
        <f aca="false">L41*M41</f>
        <v>0</v>
      </c>
      <c r="O41" s="4" t="s">
        <v>141</v>
      </c>
      <c r="P41" s="6" t="s">
        <v>142</v>
      </c>
    </row>
    <row r="42" customFormat="false" ht="22.35" hidden="false" customHeight="false" outlineLevel="0" collapsed="false">
      <c r="A42" s="12" t="s">
        <v>143</v>
      </c>
      <c r="B42" s="13" t="s">
        <v>123</v>
      </c>
      <c r="C42" s="14" t="s">
        <v>144</v>
      </c>
      <c r="D42" s="12" t="s">
        <v>37</v>
      </c>
      <c r="E42" s="15" t="s">
        <v>22</v>
      </c>
      <c r="F42" s="16" t="n">
        <v>46282</v>
      </c>
      <c r="G42" s="16" t="n">
        <v>46283</v>
      </c>
      <c r="H42" s="12" t="n">
        <f aca="false">NETWORKDAYS(F42,G42)</f>
        <v>2</v>
      </c>
      <c r="I42" s="16" t="n">
        <v>46270</v>
      </c>
      <c r="J42" s="16" t="n">
        <v>46270</v>
      </c>
      <c r="K42" s="12" t="str">
        <f aca="false">IF(G42="","",CHOOSE(MONTH(G42),"Jan","Feb","Mar","Apr","Mei","Jun","Jul","Agu","Sep","Okt","Nov","Des")&amp;" "&amp;YEAR(G42))</f>
        <v>Sep 2026</v>
      </c>
      <c r="L42" s="17" t="n">
        <v>0.0192307692307692</v>
      </c>
      <c r="M42" s="18" t="n">
        <v>1</v>
      </c>
      <c r="N42" s="19" t="n">
        <f aca="false">L42*M42</f>
        <v>0.0192307692307692</v>
      </c>
      <c r="O42" s="12" t="s">
        <v>23</v>
      </c>
      <c r="P42" s="14" t="s">
        <v>145</v>
      </c>
    </row>
    <row r="43" customFormat="false" ht="15" hidden="false" customHeight="false" outlineLevel="0" collapsed="false">
      <c r="A43" s="4" t="s">
        <v>146</v>
      </c>
      <c r="B43" s="5" t="s">
        <v>147</v>
      </c>
      <c r="C43" s="6" t="s">
        <v>148</v>
      </c>
      <c r="D43" s="4" t="s">
        <v>21</v>
      </c>
      <c r="E43" s="21" t="s">
        <v>149</v>
      </c>
      <c r="F43" s="8" t="n">
        <v>46286</v>
      </c>
      <c r="G43" s="8" t="n">
        <v>46288</v>
      </c>
      <c r="H43" s="4" t="n">
        <f aca="false">NETWORKDAYS(F43,G43)</f>
        <v>3</v>
      </c>
      <c r="I43" s="8"/>
      <c r="J43" s="8"/>
      <c r="K43" s="4" t="str">
        <f aca="false">IF(G43="","",CHOOSE(MONTH(G43),"Jan","Feb","Mar","Apr","Mei","Jun","Jul","Agu","Sep","Okt","Nov","Des")&amp;" "&amp;YEAR(G43))</f>
        <v>Sep 2026</v>
      </c>
      <c r="L43" s="9" t="n">
        <v>0.0192307692307692</v>
      </c>
      <c r="M43" s="10" t="n">
        <v>0</v>
      </c>
      <c r="N43" s="11" t="n">
        <f aca="false">L43*M43</f>
        <v>0</v>
      </c>
      <c r="O43" s="4" t="s">
        <v>141</v>
      </c>
      <c r="P43" s="6" t="s">
        <v>150</v>
      </c>
    </row>
    <row r="44" customFormat="false" ht="15" hidden="false" customHeight="false" outlineLevel="0" collapsed="false">
      <c r="A44" s="12" t="s">
        <v>151</v>
      </c>
      <c r="B44" s="13" t="s">
        <v>147</v>
      </c>
      <c r="C44" s="14" t="s">
        <v>152</v>
      </c>
      <c r="D44" s="12" t="s">
        <v>21</v>
      </c>
      <c r="E44" s="22" t="s">
        <v>149</v>
      </c>
      <c r="F44" s="16" t="n">
        <v>46289</v>
      </c>
      <c r="G44" s="16" t="n">
        <v>46289</v>
      </c>
      <c r="H44" s="12" t="n">
        <f aca="false">NETWORKDAYS(F44,G44)</f>
        <v>1</v>
      </c>
      <c r="I44" s="16"/>
      <c r="J44" s="16"/>
      <c r="K44" s="12" t="str">
        <f aca="false">IF(G44="","",CHOOSE(MONTH(G44),"Jan","Feb","Mar","Apr","Mei","Jun","Jul","Agu","Sep","Okt","Nov","Des")&amp;" "&amp;YEAR(G44))</f>
        <v>Sep 2026</v>
      </c>
      <c r="L44" s="17" t="n">
        <v>0.0192307692307692</v>
      </c>
      <c r="M44" s="18" t="n">
        <v>0</v>
      </c>
      <c r="N44" s="19" t="n">
        <f aca="false">L44*M44</f>
        <v>0</v>
      </c>
      <c r="O44" s="12" t="s">
        <v>141</v>
      </c>
      <c r="P44" s="14" t="s">
        <v>153</v>
      </c>
    </row>
    <row r="45" customFormat="false" ht="15" hidden="false" customHeight="false" outlineLevel="0" collapsed="false">
      <c r="A45" s="4" t="s">
        <v>154</v>
      </c>
      <c r="B45" s="5" t="s">
        <v>147</v>
      </c>
      <c r="C45" s="6" t="s">
        <v>155</v>
      </c>
      <c r="D45" s="4" t="s">
        <v>21</v>
      </c>
      <c r="E45" s="21" t="s">
        <v>149</v>
      </c>
      <c r="F45" s="8" t="n">
        <v>46289</v>
      </c>
      <c r="G45" s="8" t="n">
        <v>46290</v>
      </c>
      <c r="H45" s="4" t="n">
        <f aca="false">NETWORKDAYS(F45,G45)</f>
        <v>2</v>
      </c>
      <c r="I45" s="8"/>
      <c r="J45" s="8"/>
      <c r="K45" s="4" t="str">
        <f aca="false">IF(G45="","",CHOOSE(MONTH(G45),"Jan","Feb","Mar","Apr","Mei","Jun","Jul","Agu","Sep","Okt","Nov","Des")&amp;" "&amp;YEAR(G45))</f>
        <v>Sep 2026</v>
      </c>
      <c r="L45" s="9" t="n">
        <v>0.0192307692307692</v>
      </c>
      <c r="M45" s="10" t="n">
        <v>0</v>
      </c>
      <c r="N45" s="11" t="n">
        <f aca="false">L45*M45</f>
        <v>0</v>
      </c>
      <c r="O45" s="4" t="s">
        <v>141</v>
      </c>
      <c r="P45" s="6" t="s">
        <v>156</v>
      </c>
    </row>
    <row r="46" customFormat="false" ht="15" hidden="false" customHeight="false" outlineLevel="0" collapsed="false">
      <c r="A46" s="12" t="s">
        <v>157</v>
      </c>
      <c r="B46" s="13" t="s">
        <v>147</v>
      </c>
      <c r="C46" s="14" t="s">
        <v>158</v>
      </c>
      <c r="D46" s="12" t="s">
        <v>21</v>
      </c>
      <c r="E46" s="22" t="s">
        <v>149</v>
      </c>
      <c r="F46" s="16" t="n">
        <v>46290</v>
      </c>
      <c r="G46" s="16" t="n">
        <v>46290</v>
      </c>
      <c r="H46" s="12" t="n">
        <f aca="false">NETWORKDAYS(F46,G46)</f>
        <v>1</v>
      </c>
      <c r="I46" s="16"/>
      <c r="J46" s="16"/>
      <c r="K46" s="12" t="str">
        <f aca="false">IF(G46="","",CHOOSE(MONTH(G46),"Jan","Feb","Mar","Apr","Mei","Jun","Jul","Agu","Sep","Okt","Nov","Des")&amp;" "&amp;YEAR(G46))</f>
        <v>Sep 2026</v>
      </c>
      <c r="L46" s="17" t="n">
        <v>0.0192307692307692</v>
      </c>
      <c r="M46" s="18" t="n">
        <v>0</v>
      </c>
      <c r="N46" s="19" t="n">
        <f aca="false">L46*M46</f>
        <v>0</v>
      </c>
      <c r="O46" s="12" t="s">
        <v>141</v>
      </c>
      <c r="P46" s="14" t="s">
        <v>159</v>
      </c>
    </row>
    <row r="47" customFormat="false" ht="22.35" hidden="false" customHeight="false" outlineLevel="0" collapsed="false">
      <c r="A47" s="4" t="s">
        <v>160</v>
      </c>
      <c r="B47" s="5" t="s">
        <v>161</v>
      </c>
      <c r="C47" s="6" t="s">
        <v>162</v>
      </c>
      <c r="D47" s="4" t="s">
        <v>37</v>
      </c>
      <c r="E47" s="7" t="s">
        <v>22</v>
      </c>
      <c r="F47" s="8" t="n">
        <v>46270</v>
      </c>
      <c r="G47" s="8" t="n">
        <v>46270</v>
      </c>
      <c r="H47" s="4" t="n">
        <f aca="false">NETWORKDAYS(F47,G47)</f>
        <v>0</v>
      </c>
      <c r="I47" s="8" t="n">
        <v>46270</v>
      </c>
      <c r="J47" s="8" t="n">
        <v>46270</v>
      </c>
      <c r="K47" s="4" t="str">
        <f aca="false">IF(G47="","",CHOOSE(MONTH(G47),"Jan","Feb","Mar","Apr","Mei","Jun","Jul","Agu","Sep","Okt","Nov","Des")&amp;" "&amp;YEAR(G47))</f>
        <v>Sep 2026</v>
      </c>
      <c r="L47" s="9" t="n">
        <v>0.0192307692307692</v>
      </c>
      <c r="M47" s="10" t="n">
        <v>1</v>
      </c>
      <c r="N47" s="11" t="n">
        <f aca="false">L47*M47</f>
        <v>0.0192307692307692</v>
      </c>
      <c r="O47" s="4" t="s">
        <v>23</v>
      </c>
      <c r="P47" s="6" t="s">
        <v>163</v>
      </c>
    </row>
    <row r="48" customFormat="false" ht="22.35" hidden="false" customHeight="false" outlineLevel="0" collapsed="false">
      <c r="A48" s="12" t="s">
        <v>164</v>
      </c>
      <c r="B48" s="13" t="s">
        <v>161</v>
      </c>
      <c r="C48" s="14" t="s">
        <v>165</v>
      </c>
      <c r="D48" s="12" t="s">
        <v>21</v>
      </c>
      <c r="E48" s="15" t="s">
        <v>22</v>
      </c>
      <c r="F48" s="16" t="n">
        <v>46270</v>
      </c>
      <c r="G48" s="16" t="n">
        <v>46270</v>
      </c>
      <c r="H48" s="12" t="n">
        <f aca="false">NETWORKDAYS(F48,G48)</f>
        <v>0</v>
      </c>
      <c r="I48" s="16" t="n">
        <v>46270</v>
      </c>
      <c r="J48" s="16" t="n">
        <v>46270</v>
      </c>
      <c r="K48" s="12" t="str">
        <f aca="false">IF(G48="","",CHOOSE(MONTH(G48),"Jan","Feb","Mar","Apr","Mei","Jun","Jul","Agu","Sep","Okt","Nov","Des")&amp;" "&amp;YEAR(G48))</f>
        <v>Sep 2026</v>
      </c>
      <c r="L48" s="17" t="n">
        <v>0.0192307692307692</v>
      </c>
      <c r="M48" s="18" t="n">
        <v>1</v>
      </c>
      <c r="N48" s="19" t="n">
        <f aca="false">L48*M48</f>
        <v>0.0192307692307692</v>
      </c>
      <c r="O48" s="12" t="s">
        <v>23</v>
      </c>
      <c r="P48" s="14" t="s">
        <v>166</v>
      </c>
    </row>
    <row r="49" customFormat="false" ht="22.35" hidden="false" customHeight="false" outlineLevel="0" collapsed="false">
      <c r="A49" s="4" t="s">
        <v>167</v>
      </c>
      <c r="B49" s="5" t="s">
        <v>161</v>
      </c>
      <c r="C49" s="6" t="s">
        <v>168</v>
      </c>
      <c r="D49" s="4" t="s">
        <v>37</v>
      </c>
      <c r="E49" s="7" t="s">
        <v>22</v>
      </c>
      <c r="F49" s="8" t="n">
        <v>46270</v>
      </c>
      <c r="G49" s="8" t="n">
        <v>46270</v>
      </c>
      <c r="H49" s="4" t="n">
        <f aca="false">NETWORKDAYS(F49,G49)</f>
        <v>0</v>
      </c>
      <c r="I49" s="8" t="n">
        <v>46270</v>
      </c>
      <c r="J49" s="8" t="n">
        <v>46270</v>
      </c>
      <c r="K49" s="4" t="str">
        <f aca="false">IF(G49="","",CHOOSE(MONTH(G49),"Jan","Feb","Mar","Apr","Mei","Jun","Jul","Agu","Sep","Okt","Nov","Des")&amp;" "&amp;YEAR(G49))</f>
        <v>Sep 2026</v>
      </c>
      <c r="L49" s="9" t="n">
        <v>0.0192307692307692</v>
      </c>
      <c r="M49" s="10" t="n">
        <v>1</v>
      </c>
      <c r="N49" s="11" t="n">
        <f aca="false">L49*M49</f>
        <v>0.0192307692307692</v>
      </c>
      <c r="O49" s="4" t="s">
        <v>23</v>
      </c>
      <c r="P49" s="6" t="s">
        <v>169</v>
      </c>
    </row>
    <row r="50" customFormat="false" ht="22.35" hidden="false" customHeight="false" outlineLevel="0" collapsed="false">
      <c r="A50" s="12" t="s">
        <v>170</v>
      </c>
      <c r="B50" s="13" t="s">
        <v>161</v>
      </c>
      <c r="C50" s="14" t="s">
        <v>171</v>
      </c>
      <c r="D50" s="12" t="s">
        <v>37</v>
      </c>
      <c r="E50" s="15" t="s">
        <v>22</v>
      </c>
      <c r="F50" s="16" t="n">
        <v>46270</v>
      </c>
      <c r="G50" s="16" t="n">
        <v>46270</v>
      </c>
      <c r="H50" s="12" t="n">
        <f aca="false">NETWORKDAYS(F50,G50)</f>
        <v>0</v>
      </c>
      <c r="I50" s="16" t="n">
        <v>46270</v>
      </c>
      <c r="J50" s="16" t="n">
        <v>46270</v>
      </c>
      <c r="K50" s="12" t="str">
        <f aca="false">IF(G50="","",CHOOSE(MONTH(G50),"Jan","Feb","Mar","Apr","Mei","Jun","Jul","Agu","Sep","Okt","Nov","Des")&amp;" "&amp;YEAR(G50))</f>
        <v>Sep 2026</v>
      </c>
      <c r="L50" s="17" t="n">
        <v>0.0192307692307692</v>
      </c>
      <c r="M50" s="18" t="n">
        <v>1</v>
      </c>
      <c r="N50" s="19" t="n">
        <f aca="false">L50*M50</f>
        <v>0.0192307692307692</v>
      </c>
      <c r="O50" s="12" t="s">
        <v>23</v>
      </c>
      <c r="P50" s="14" t="s">
        <v>172</v>
      </c>
    </row>
    <row r="51" customFormat="false" ht="22.35" hidden="false" customHeight="false" outlineLevel="0" collapsed="false">
      <c r="A51" s="4" t="s">
        <v>173</v>
      </c>
      <c r="B51" s="5" t="s">
        <v>161</v>
      </c>
      <c r="C51" s="6" t="s">
        <v>174</v>
      </c>
      <c r="D51" s="4" t="s">
        <v>37</v>
      </c>
      <c r="E51" s="7" t="s">
        <v>22</v>
      </c>
      <c r="F51" s="8" t="n">
        <v>46270</v>
      </c>
      <c r="G51" s="8" t="n">
        <v>46270</v>
      </c>
      <c r="H51" s="4" t="n">
        <f aca="false">NETWORKDAYS(F51,G51)</f>
        <v>0</v>
      </c>
      <c r="I51" s="8" t="n">
        <v>46270</v>
      </c>
      <c r="J51" s="8" t="n">
        <v>46270</v>
      </c>
      <c r="K51" s="4" t="str">
        <f aca="false">IF(G51="","",CHOOSE(MONTH(G51),"Jan","Feb","Mar","Apr","Mei","Jun","Jul","Agu","Sep","Okt","Nov","Des")&amp;" "&amp;YEAR(G51))</f>
        <v>Sep 2026</v>
      </c>
      <c r="L51" s="9" t="n">
        <v>0.0192307692307692</v>
      </c>
      <c r="M51" s="10" t="n">
        <v>1</v>
      </c>
      <c r="N51" s="11" t="n">
        <f aca="false">L51*M51</f>
        <v>0.0192307692307692</v>
      </c>
      <c r="O51" s="4" t="s">
        <v>23</v>
      </c>
      <c r="P51" s="6" t="s">
        <v>175</v>
      </c>
    </row>
    <row r="52" customFormat="false" ht="22.35" hidden="false" customHeight="false" outlineLevel="0" collapsed="false">
      <c r="A52" s="12" t="s">
        <v>176</v>
      </c>
      <c r="B52" s="13" t="s">
        <v>161</v>
      </c>
      <c r="C52" s="14" t="s">
        <v>177</v>
      </c>
      <c r="D52" s="12" t="s">
        <v>21</v>
      </c>
      <c r="E52" s="15" t="s">
        <v>22</v>
      </c>
      <c r="F52" s="16" t="n">
        <v>46270</v>
      </c>
      <c r="G52" s="16" t="n">
        <v>46270</v>
      </c>
      <c r="H52" s="12" t="n">
        <f aca="false">NETWORKDAYS(F52,G52)</f>
        <v>0</v>
      </c>
      <c r="I52" s="16" t="n">
        <v>46270</v>
      </c>
      <c r="J52" s="16" t="n">
        <v>46270</v>
      </c>
      <c r="K52" s="12" t="str">
        <f aca="false">IF(G52="","",CHOOSE(MONTH(G52),"Jan","Feb","Mar","Apr","Mei","Jun","Jul","Agu","Sep","Okt","Nov","Des")&amp;" "&amp;YEAR(G52))</f>
        <v>Sep 2026</v>
      </c>
      <c r="L52" s="17" t="n">
        <v>0.0192307692307692</v>
      </c>
      <c r="M52" s="18" t="n">
        <v>1</v>
      </c>
      <c r="N52" s="19" t="n">
        <f aca="false">L52*M52</f>
        <v>0.0192307692307692</v>
      </c>
      <c r="O52" s="12" t="s">
        <v>23</v>
      </c>
      <c r="P52" s="14" t="s">
        <v>178</v>
      </c>
    </row>
    <row r="53" customFormat="false" ht="22.35" hidden="false" customHeight="false" outlineLevel="0" collapsed="false">
      <c r="A53" s="4" t="s">
        <v>179</v>
      </c>
      <c r="B53" s="5" t="s">
        <v>161</v>
      </c>
      <c r="C53" s="6" t="s">
        <v>180</v>
      </c>
      <c r="D53" s="4" t="s">
        <v>37</v>
      </c>
      <c r="E53" s="7" t="s">
        <v>22</v>
      </c>
      <c r="F53" s="8" t="n">
        <v>46270</v>
      </c>
      <c r="G53" s="8" t="n">
        <v>46270</v>
      </c>
      <c r="H53" s="4" t="n">
        <f aca="false">NETWORKDAYS(F53,G53)</f>
        <v>0</v>
      </c>
      <c r="I53" s="8" t="n">
        <v>46270</v>
      </c>
      <c r="J53" s="8" t="n">
        <v>46270</v>
      </c>
      <c r="K53" s="4" t="str">
        <f aca="false">IF(G53="","",CHOOSE(MONTH(G53),"Jan","Feb","Mar","Apr","Mei","Jun","Jul","Agu","Sep","Okt","Nov","Des")&amp;" "&amp;YEAR(G53))</f>
        <v>Sep 2026</v>
      </c>
      <c r="L53" s="9" t="n">
        <v>0.0192307692307692</v>
      </c>
      <c r="M53" s="10" t="n">
        <v>1</v>
      </c>
      <c r="N53" s="11" t="n">
        <f aca="false">L53*M53</f>
        <v>0.0192307692307692</v>
      </c>
      <c r="O53" s="4" t="s">
        <v>23</v>
      </c>
      <c r="P53" s="6" t="s">
        <v>181</v>
      </c>
    </row>
    <row r="54" customFormat="false" ht="22.35" hidden="false" customHeight="false" outlineLevel="0" collapsed="false">
      <c r="A54" s="12" t="s">
        <v>182</v>
      </c>
      <c r="B54" s="13" t="s">
        <v>161</v>
      </c>
      <c r="C54" s="14" t="s">
        <v>183</v>
      </c>
      <c r="D54" s="12" t="s">
        <v>37</v>
      </c>
      <c r="E54" s="15" t="s">
        <v>22</v>
      </c>
      <c r="F54" s="16" t="n">
        <v>46270</v>
      </c>
      <c r="G54" s="16" t="n">
        <v>46270</v>
      </c>
      <c r="H54" s="12" t="n">
        <f aca="false">NETWORKDAYS(F54,G54)</f>
        <v>0</v>
      </c>
      <c r="I54" s="16" t="n">
        <v>46270</v>
      </c>
      <c r="J54" s="16" t="n">
        <v>46270</v>
      </c>
      <c r="K54" s="12" t="str">
        <f aca="false">IF(G54="","",CHOOSE(MONTH(G54),"Jan","Feb","Mar","Apr","Mei","Jun","Jul","Agu","Sep","Okt","Nov","Des")&amp;" "&amp;YEAR(G54))</f>
        <v>Sep 2026</v>
      </c>
      <c r="L54" s="17" t="n">
        <v>0.0192307692307692</v>
      </c>
      <c r="M54" s="18" t="n">
        <v>1</v>
      </c>
      <c r="N54" s="19" t="n">
        <f aca="false">L54*M54</f>
        <v>0.0192307692307692</v>
      </c>
      <c r="O54" s="12" t="s">
        <v>23</v>
      </c>
      <c r="P54" s="14" t="s">
        <v>184</v>
      </c>
    </row>
    <row r="55" customFormat="false" ht="22.35" hidden="false" customHeight="false" outlineLevel="0" collapsed="false">
      <c r="A55" s="4" t="s">
        <v>185</v>
      </c>
      <c r="B55" s="5" t="s">
        <v>161</v>
      </c>
      <c r="C55" s="6" t="s">
        <v>186</v>
      </c>
      <c r="D55" s="4" t="s">
        <v>37</v>
      </c>
      <c r="E55" s="7" t="s">
        <v>22</v>
      </c>
      <c r="F55" s="8" t="n">
        <v>46270</v>
      </c>
      <c r="G55" s="8" t="n">
        <v>46270</v>
      </c>
      <c r="H55" s="4" t="n">
        <f aca="false">NETWORKDAYS(F55,G55)</f>
        <v>0</v>
      </c>
      <c r="I55" s="8" t="n">
        <v>46270</v>
      </c>
      <c r="J55" s="8" t="n">
        <v>46270</v>
      </c>
      <c r="K55" s="4" t="str">
        <f aca="false">IF(G55="","",CHOOSE(MONTH(G55),"Jan","Feb","Mar","Apr","Mei","Jun","Jul","Agu","Sep","Okt","Nov","Des")&amp;" "&amp;YEAR(G55))</f>
        <v>Sep 2026</v>
      </c>
      <c r="L55" s="9" t="n">
        <v>0.0192307692307692</v>
      </c>
      <c r="M55" s="10" t="n">
        <v>1</v>
      </c>
      <c r="N55" s="11" t="n">
        <f aca="false">L55*M55</f>
        <v>0.0192307692307692</v>
      </c>
      <c r="O55" s="4" t="s">
        <v>23</v>
      </c>
      <c r="P55" s="6" t="s">
        <v>187</v>
      </c>
    </row>
    <row r="56" customFormat="false" ht="22.35" hidden="false" customHeight="false" outlineLevel="0" collapsed="false">
      <c r="A56" s="12" t="s">
        <v>188</v>
      </c>
      <c r="B56" s="13" t="s">
        <v>161</v>
      </c>
      <c r="C56" s="14" t="s">
        <v>189</v>
      </c>
      <c r="D56" s="12" t="s">
        <v>37</v>
      </c>
      <c r="E56" s="23" t="s">
        <v>140</v>
      </c>
      <c r="F56" s="16" t="n">
        <v>46272</v>
      </c>
      <c r="G56" s="16" t="n">
        <v>46272</v>
      </c>
      <c r="H56" s="12" t="n">
        <f aca="false">NETWORKDAYS(F56,G56)</f>
        <v>1</v>
      </c>
      <c r="I56" s="16"/>
      <c r="J56" s="16"/>
      <c r="K56" s="12" t="str">
        <f aca="false">IF(G56="","",CHOOSE(MONTH(G56),"Jan","Feb","Mar","Apr","Mei","Jun","Jul","Agu","Sep","Okt","Nov","Des")&amp;" "&amp;YEAR(G56))</f>
        <v>Sep 2026</v>
      </c>
      <c r="L56" s="17" t="n">
        <v>0.0192307692307692</v>
      </c>
      <c r="M56" s="18" t="n">
        <v>0</v>
      </c>
      <c r="N56" s="19" t="n">
        <f aca="false">L56*M56</f>
        <v>0</v>
      </c>
      <c r="O56" s="12" t="s">
        <v>141</v>
      </c>
      <c r="P56" s="14" t="s">
        <v>190</v>
      </c>
    </row>
    <row r="57" customFormat="false" ht="15" hidden="false" customHeight="false" outlineLevel="0" collapsed="false">
      <c r="A57" s="24"/>
      <c r="B57" s="24"/>
      <c r="C57" s="25" t="s">
        <v>191</v>
      </c>
      <c r="D57" s="24"/>
      <c r="E57" s="24"/>
      <c r="F57" s="24"/>
      <c r="G57" s="24"/>
      <c r="H57" s="26" t="n">
        <f aca="false">SUM(H5:H56)</f>
        <v>77</v>
      </c>
      <c r="I57" s="24"/>
      <c r="J57" s="24"/>
      <c r="K57" s="24"/>
      <c r="L57" s="27" t="n">
        <f aca="false">SUM(L5:L56)</f>
        <v>1</v>
      </c>
      <c r="M57" s="24"/>
      <c r="N57" s="28" t="n">
        <f aca="false">SUM(N5:N56)</f>
        <v>0.884615384615385</v>
      </c>
      <c r="O57" s="24"/>
      <c r="P57" s="29" t="s">
        <v>192</v>
      </c>
    </row>
  </sheetData>
  <autoFilter ref="A4:P56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1"/>
    <col collapsed="false" customWidth="true" hidden="false" outlineLevel="0" max="17" min="4" style="0" width="5.4"/>
  </cols>
  <sheetData>
    <row r="1" customFormat="false" ht="17.35" hidden="false" customHeight="false" outlineLevel="0" collapsed="false">
      <c r="A1" s="1" t="s">
        <v>193</v>
      </c>
    </row>
    <row r="2" customFormat="false" ht="15" hidden="false" customHeight="false" outlineLevel="0" collapsed="false">
      <c r="A2" s="2" t="s">
        <v>194</v>
      </c>
    </row>
    <row r="3" customFormat="false" ht="15" hidden="false" customHeight="false" outlineLevel="0" collapsed="false">
      <c r="C3" s="30" t="s">
        <v>195</v>
      </c>
      <c r="D3" s="31" t="n">
        <v>46202</v>
      </c>
      <c r="E3" s="31" t="n">
        <v>46209</v>
      </c>
      <c r="F3" s="31" t="n">
        <v>46216</v>
      </c>
      <c r="G3" s="31" t="n">
        <v>46223</v>
      </c>
      <c r="H3" s="31" t="n">
        <v>46230</v>
      </c>
      <c r="I3" s="31" t="n">
        <v>46237</v>
      </c>
      <c r="J3" s="31" t="n">
        <v>46244</v>
      </c>
      <c r="K3" s="31" t="n">
        <v>46251</v>
      </c>
      <c r="L3" s="31" t="n">
        <v>46258</v>
      </c>
      <c r="M3" s="31" t="n">
        <v>46265</v>
      </c>
      <c r="N3" s="31" t="n">
        <v>46272</v>
      </c>
      <c r="O3" s="31" t="n">
        <v>46279</v>
      </c>
      <c r="P3" s="31" t="n">
        <v>46286</v>
      </c>
      <c r="Q3" s="31" t="n">
        <v>46293</v>
      </c>
    </row>
    <row r="4" customFormat="false" ht="15" hidden="false" customHeight="false" outlineLevel="0" collapsed="false">
      <c r="A4" s="32" t="s">
        <v>2</v>
      </c>
      <c r="B4" s="32" t="s">
        <v>4</v>
      </c>
      <c r="C4" s="32" t="s">
        <v>6</v>
      </c>
      <c r="D4" s="33" t="s">
        <v>196</v>
      </c>
      <c r="E4" s="33" t="s">
        <v>197</v>
      </c>
      <c r="F4" s="33" t="s">
        <v>198</v>
      </c>
      <c r="G4" s="33" t="s">
        <v>199</v>
      </c>
      <c r="H4" s="33" t="s">
        <v>200</v>
      </c>
      <c r="I4" s="33" t="s">
        <v>201</v>
      </c>
      <c r="J4" s="33" t="s">
        <v>202</v>
      </c>
      <c r="K4" s="33" t="s">
        <v>203</v>
      </c>
      <c r="L4" s="33" t="s">
        <v>204</v>
      </c>
      <c r="M4" s="33" t="s">
        <v>205</v>
      </c>
      <c r="N4" s="33" t="s">
        <v>206</v>
      </c>
      <c r="O4" s="33" t="s">
        <v>207</v>
      </c>
      <c r="P4" s="33" t="s">
        <v>208</v>
      </c>
      <c r="Q4" s="33" t="s">
        <v>209</v>
      </c>
    </row>
    <row r="5" customFormat="false" ht="15" hidden="false" customHeight="false" outlineLevel="0" collapsed="false">
      <c r="A5" s="4" t="str">
        <f aca="false">WBS!A5</f>
        <v>0.1</v>
      </c>
      <c r="B5" s="5" t="str">
        <f aca="false">WBS!C5</f>
        <v>Konfigurasi LLM Quality Gate (QG_*) di LPMS-3</v>
      </c>
      <c r="C5" s="4" t="str">
        <f aca="false">WBS!E5</f>
        <v>Selesai</v>
      </c>
      <c r="D5" s="4" t="str">
        <f aca="false">IF(AND(WBS!$I5&lt;&gt;"",WBS!$I5&lt;=D$3+6,WBS!$J5&gt;=D$3),"A",IF(AND(WBS!$F5&lt;=D$3+6,WBS!$G5&gt;=D$3),"X",""))</f>
        <v>A</v>
      </c>
      <c r="E5" s="4" t="str">
        <f aca="false">IF(AND(WBS!$I5&lt;&gt;"",WBS!$I5&lt;=E$3+6,WBS!$J5&gt;=E$3),"A",IF(AND(WBS!$F5&lt;=E$3+6,WBS!$G5&gt;=E$3),"X",""))</f>
        <v/>
      </c>
      <c r="F5" s="4" t="str">
        <f aca="false">IF(AND(WBS!$I5&lt;&gt;"",WBS!$I5&lt;=F$3+6,WBS!$J5&gt;=F$3),"A",IF(AND(WBS!$F5&lt;=F$3+6,WBS!$G5&gt;=F$3),"X",""))</f>
        <v/>
      </c>
      <c r="G5" s="4" t="str">
        <f aca="false">IF(AND(WBS!$I5&lt;&gt;"",WBS!$I5&lt;=G$3+6,WBS!$J5&gt;=G$3),"A",IF(AND(WBS!$F5&lt;=G$3+6,WBS!$G5&gt;=G$3),"X",""))</f>
        <v/>
      </c>
      <c r="H5" s="4" t="str">
        <f aca="false">IF(AND(WBS!$I5&lt;&gt;"",WBS!$I5&lt;=H$3+6,WBS!$J5&gt;=H$3),"A",IF(AND(WBS!$F5&lt;=H$3+6,WBS!$G5&gt;=H$3),"X",""))</f>
        <v/>
      </c>
      <c r="I5" s="4" t="str">
        <f aca="false">IF(AND(WBS!$I5&lt;&gt;"",WBS!$I5&lt;=I$3+6,WBS!$J5&gt;=I$3),"A",IF(AND(WBS!$F5&lt;=I$3+6,WBS!$G5&gt;=I$3),"X",""))</f>
        <v/>
      </c>
      <c r="J5" s="4" t="str">
        <f aca="false">IF(AND(WBS!$I5&lt;&gt;"",WBS!$I5&lt;=J$3+6,WBS!$J5&gt;=J$3),"A",IF(AND(WBS!$F5&lt;=J$3+6,WBS!$G5&gt;=J$3),"X",""))</f>
        <v/>
      </c>
      <c r="K5" s="4" t="str">
        <f aca="false">IF(AND(WBS!$I5&lt;&gt;"",WBS!$I5&lt;=K$3+6,WBS!$J5&gt;=K$3),"A",IF(AND(WBS!$F5&lt;=K$3+6,WBS!$G5&gt;=K$3),"X",""))</f>
        <v/>
      </c>
      <c r="L5" s="4" t="str">
        <f aca="false">IF(AND(WBS!$I5&lt;&gt;"",WBS!$I5&lt;=L$3+6,WBS!$J5&gt;=L$3),"A",IF(AND(WBS!$F5&lt;=L$3+6,WBS!$G5&gt;=L$3),"X",""))</f>
        <v/>
      </c>
      <c r="M5" s="4" t="str">
        <f aca="false">IF(AND(WBS!$I5&lt;&gt;"",WBS!$I5&lt;=M$3+6,WBS!$J5&gt;=M$3),"A",IF(AND(WBS!$F5&lt;=M$3+6,WBS!$G5&gt;=M$3),"X",""))</f>
        <v/>
      </c>
      <c r="N5" s="4" t="str">
        <f aca="false">IF(AND(WBS!$I5&lt;&gt;"",WBS!$I5&lt;=N$3+6,WBS!$J5&gt;=N$3),"A",IF(AND(WBS!$F5&lt;=N$3+6,WBS!$G5&gt;=N$3),"X",""))</f>
        <v/>
      </c>
      <c r="O5" s="4" t="str">
        <f aca="false">IF(AND(WBS!$I5&lt;&gt;"",WBS!$I5&lt;=O$3+6,WBS!$J5&gt;=O$3),"A",IF(AND(WBS!$F5&lt;=O$3+6,WBS!$G5&gt;=O$3),"X",""))</f>
        <v/>
      </c>
      <c r="P5" s="4" t="str">
        <f aca="false">IF(AND(WBS!$I5&lt;&gt;"",WBS!$I5&lt;=P$3+6,WBS!$J5&gt;=P$3),"A",IF(AND(WBS!$F5&lt;=P$3+6,WBS!$G5&gt;=P$3),"X",""))</f>
        <v/>
      </c>
      <c r="Q5" s="4" t="str">
        <f aca="false">IF(AND(WBS!$I5&lt;&gt;"",WBS!$I5&lt;=Q$3+6,WBS!$J5&gt;=Q$3),"A",IF(AND(WBS!$F5&lt;=Q$3+6,WBS!$G5&gt;=Q$3),"X",""))</f>
        <v/>
      </c>
    </row>
    <row r="6" customFormat="false" ht="15" hidden="false" customHeight="false" outlineLevel="0" collapsed="false">
      <c r="A6" s="4" t="str">
        <f aca="false">WBS!A6</f>
        <v>0.2</v>
      </c>
      <c r="B6" s="5" t="str">
        <f aca="false">WBS!C6</f>
        <v>Pembuatan workflow ocr-review.yml di LPMS-3</v>
      </c>
      <c r="C6" s="4" t="str">
        <f aca="false">WBS!E6</f>
        <v>Selesai</v>
      </c>
      <c r="D6" s="4" t="str">
        <f aca="false">IF(AND(WBS!$I6&lt;&gt;"",WBS!$I6&lt;=D$3+6,WBS!$J6&gt;=D$3),"A",IF(AND(WBS!$F6&lt;=D$3+6,WBS!$G6&gt;=D$3),"X",""))</f>
        <v>A</v>
      </c>
      <c r="E6" s="4" t="str">
        <f aca="false">IF(AND(WBS!$I6&lt;&gt;"",WBS!$I6&lt;=E$3+6,WBS!$J6&gt;=E$3),"A",IF(AND(WBS!$F6&lt;=E$3+6,WBS!$G6&gt;=E$3),"X",""))</f>
        <v/>
      </c>
      <c r="F6" s="4" t="str">
        <f aca="false">IF(AND(WBS!$I6&lt;&gt;"",WBS!$I6&lt;=F$3+6,WBS!$J6&gt;=F$3),"A",IF(AND(WBS!$F6&lt;=F$3+6,WBS!$G6&gt;=F$3),"X",""))</f>
        <v/>
      </c>
      <c r="G6" s="4" t="str">
        <f aca="false">IF(AND(WBS!$I6&lt;&gt;"",WBS!$I6&lt;=G$3+6,WBS!$J6&gt;=G$3),"A",IF(AND(WBS!$F6&lt;=G$3+6,WBS!$G6&gt;=G$3),"X",""))</f>
        <v/>
      </c>
      <c r="H6" s="4" t="str">
        <f aca="false">IF(AND(WBS!$I6&lt;&gt;"",WBS!$I6&lt;=H$3+6,WBS!$J6&gt;=H$3),"A",IF(AND(WBS!$F6&lt;=H$3+6,WBS!$G6&gt;=H$3),"X",""))</f>
        <v/>
      </c>
      <c r="I6" s="4" t="str">
        <f aca="false">IF(AND(WBS!$I6&lt;&gt;"",WBS!$I6&lt;=I$3+6,WBS!$J6&gt;=I$3),"A",IF(AND(WBS!$F6&lt;=I$3+6,WBS!$G6&gt;=I$3),"X",""))</f>
        <v/>
      </c>
      <c r="J6" s="4" t="str">
        <f aca="false">IF(AND(WBS!$I6&lt;&gt;"",WBS!$I6&lt;=J$3+6,WBS!$J6&gt;=J$3),"A",IF(AND(WBS!$F6&lt;=J$3+6,WBS!$G6&gt;=J$3),"X",""))</f>
        <v/>
      </c>
      <c r="K6" s="4" t="str">
        <f aca="false">IF(AND(WBS!$I6&lt;&gt;"",WBS!$I6&lt;=K$3+6,WBS!$J6&gt;=K$3),"A",IF(AND(WBS!$F6&lt;=K$3+6,WBS!$G6&gt;=K$3),"X",""))</f>
        <v/>
      </c>
      <c r="L6" s="4" t="str">
        <f aca="false">IF(AND(WBS!$I6&lt;&gt;"",WBS!$I6&lt;=L$3+6,WBS!$J6&gt;=L$3),"A",IF(AND(WBS!$F6&lt;=L$3+6,WBS!$G6&gt;=L$3),"X",""))</f>
        <v/>
      </c>
      <c r="M6" s="4" t="str">
        <f aca="false">IF(AND(WBS!$I6&lt;&gt;"",WBS!$I6&lt;=M$3+6,WBS!$J6&gt;=M$3),"A",IF(AND(WBS!$F6&lt;=M$3+6,WBS!$G6&gt;=M$3),"X",""))</f>
        <v/>
      </c>
      <c r="N6" s="4" t="str">
        <f aca="false">IF(AND(WBS!$I6&lt;&gt;"",WBS!$I6&lt;=N$3+6,WBS!$J6&gt;=N$3),"A",IF(AND(WBS!$F6&lt;=N$3+6,WBS!$G6&gt;=N$3),"X",""))</f>
        <v/>
      </c>
      <c r="O6" s="4" t="str">
        <f aca="false">IF(AND(WBS!$I6&lt;&gt;"",WBS!$I6&lt;=O$3+6,WBS!$J6&gt;=O$3),"A",IF(AND(WBS!$F6&lt;=O$3+6,WBS!$G6&gt;=O$3),"X",""))</f>
        <v/>
      </c>
      <c r="P6" s="4" t="str">
        <f aca="false">IF(AND(WBS!$I6&lt;&gt;"",WBS!$I6&lt;=P$3+6,WBS!$J6&gt;=P$3),"A",IF(AND(WBS!$F6&lt;=P$3+6,WBS!$G6&gt;=P$3),"X",""))</f>
        <v/>
      </c>
      <c r="Q6" s="4" t="str">
        <f aca="false">IF(AND(WBS!$I6&lt;&gt;"",WBS!$I6&lt;=Q$3+6,WBS!$J6&gt;=Q$3),"A",IF(AND(WBS!$F6&lt;=Q$3+6,WBS!$G6&gt;=Q$3),"X",""))</f>
        <v/>
      </c>
    </row>
    <row r="7" customFormat="false" ht="15" hidden="false" customHeight="false" outlineLevel="0" collapsed="false">
      <c r="A7" s="4" t="str">
        <f aca="false">WBS!A7</f>
        <v>0.3</v>
      </c>
      <c r="B7" s="5" t="str">
        <f aca="false">WBS!C7</f>
        <v>Registrasi GitHub App OpenCodeReview + 3 secret</v>
      </c>
      <c r="C7" s="4" t="str">
        <f aca="false">WBS!E7</f>
        <v>Selesai</v>
      </c>
      <c r="D7" s="4" t="str">
        <f aca="false">IF(AND(WBS!$I7&lt;&gt;"",WBS!$I7&lt;=D$3+6,WBS!$J7&gt;=D$3),"A",IF(AND(WBS!$F7&lt;=D$3+6,WBS!$G7&gt;=D$3),"X",""))</f>
        <v>A</v>
      </c>
      <c r="E7" s="4" t="str">
        <f aca="false">IF(AND(WBS!$I7&lt;&gt;"",WBS!$I7&lt;=E$3+6,WBS!$J7&gt;=E$3),"A",IF(AND(WBS!$F7&lt;=E$3+6,WBS!$G7&gt;=E$3),"X",""))</f>
        <v/>
      </c>
      <c r="F7" s="4" t="str">
        <f aca="false">IF(AND(WBS!$I7&lt;&gt;"",WBS!$I7&lt;=F$3+6,WBS!$J7&gt;=F$3),"A",IF(AND(WBS!$F7&lt;=F$3+6,WBS!$G7&gt;=F$3),"X",""))</f>
        <v/>
      </c>
      <c r="G7" s="4" t="str">
        <f aca="false">IF(AND(WBS!$I7&lt;&gt;"",WBS!$I7&lt;=G$3+6,WBS!$J7&gt;=G$3),"A",IF(AND(WBS!$F7&lt;=G$3+6,WBS!$G7&gt;=G$3),"X",""))</f>
        <v/>
      </c>
      <c r="H7" s="4" t="str">
        <f aca="false">IF(AND(WBS!$I7&lt;&gt;"",WBS!$I7&lt;=H$3+6,WBS!$J7&gt;=H$3),"A",IF(AND(WBS!$F7&lt;=H$3+6,WBS!$G7&gt;=H$3),"X",""))</f>
        <v/>
      </c>
      <c r="I7" s="4" t="str">
        <f aca="false">IF(AND(WBS!$I7&lt;&gt;"",WBS!$I7&lt;=I$3+6,WBS!$J7&gt;=I$3),"A",IF(AND(WBS!$F7&lt;=I$3+6,WBS!$G7&gt;=I$3),"X",""))</f>
        <v/>
      </c>
      <c r="J7" s="4" t="str">
        <f aca="false">IF(AND(WBS!$I7&lt;&gt;"",WBS!$I7&lt;=J$3+6,WBS!$J7&gt;=J$3),"A",IF(AND(WBS!$F7&lt;=J$3+6,WBS!$G7&gt;=J$3),"X",""))</f>
        <v/>
      </c>
      <c r="K7" s="4" t="str">
        <f aca="false">IF(AND(WBS!$I7&lt;&gt;"",WBS!$I7&lt;=K$3+6,WBS!$J7&gt;=K$3),"A",IF(AND(WBS!$F7&lt;=K$3+6,WBS!$G7&gt;=K$3),"X",""))</f>
        <v/>
      </c>
      <c r="L7" s="4" t="str">
        <f aca="false">IF(AND(WBS!$I7&lt;&gt;"",WBS!$I7&lt;=L$3+6,WBS!$J7&gt;=L$3),"A",IF(AND(WBS!$F7&lt;=L$3+6,WBS!$G7&gt;=L$3),"X",""))</f>
        <v/>
      </c>
      <c r="M7" s="4" t="str">
        <f aca="false">IF(AND(WBS!$I7&lt;&gt;"",WBS!$I7&lt;=M$3+6,WBS!$J7&gt;=M$3),"A",IF(AND(WBS!$F7&lt;=M$3+6,WBS!$G7&gt;=M$3),"X",""))</f>
        <v/>
      </c>
      <c r="N7" s="4" t="str">
        <f aca="false">IF(AND(WBS!$I7&lt;&gt;"",WBS!$I7&lt;=N$3+6,WBS!$J7&gt;=N$3),"A",IF(AND(WBS!$F7&lt;=N$3+6,WBS!$G7&gt;=N$3),"X",""))</f>
        <v/>
      </c>
      <c r="O7" s="4" t="str">
        <f aca="false">IF(AND(WBS!$I7&lt;&gt;"",WBS!$I7&lt;=O$3+6,WBS!$J7&gt;=O$3),"A",IF(AND(WBS!$F7&lt;=O$3+6,WBS!$G7&gt;=O$3),"X",""))</f>
        <v/>
      </c>
      <c r="P7" s="4" t="str">
        <f aca="false">IF(AND(WBS!$I7&lt;&gt;"",WBS!$I7&lt;=P$3+6,WBS!$J7&gt;=P$3),"A",IF(AND(WBS!$F7&lt;=P$3+6,WBS!$G7&gt;=P$3),"X",""))</f>
        <v/>
      </c>
      <c r="Q7" s="4" t="str">
        <f aca="false">IF(AND(WBS!$I7&lt;&gt;"",WBS!$I7&lt;=Q$3+6,WBS!$J7&gt;=Q$3),"A",IF(AND(WBS!$F7&lt;=Q$3+6,WBS!$G7&gt;=Q$3),"X",""))</f>
        <v/>
      </c>
    </row>
    <row r="8" customFormat="false" ht="15" hidden="false" customHeight="false" outlineLevel="0" collapsed="false">
      <c r="A8" s="4" t="str">
        <f aca="false">WBS!A8</f>
        <v>0.4</v>
      </c>
      <c r="B8" s="5" t="str">
        <f aca="false">WBS!C8</f>
        <v>Pembuatan workflow ocr-rebuttal.yml (dialog ber-thread)</v>
      </c>
      <c r="C8" s="4" t="str">
        <f aca="false">WBS!E8</f>
        <v>Selesai</v>
      </c>
      <c r="D8" s="4" t="str">
        <f aca="false">IF(AND(WBS!$I8&lt;&gt;"",WBS!$I8&lt;=D$3+6,WBS!$J8&gt;=D$3),"A",IF(AND(WBS!$F8&lt;=D$3+6,WBS!$G8&gt;=D$3),"X",""))</f>
        <v/>
      </c>
      <c r="E8" s="4" t="str">
        <f aca="false">IF(AND(WBS!$I8&lt;&gt;"",WBS!$I8&lt;=E$3+6,WBS!$J8&gt;=E$3),"A",IF(AND(WBS!$F8&lt;=E$3+6,WBS!$G8&gt;=E$3),"X",""))</f>
        <v/>
      </c>
      <c r="F8" s="4" t="str">
        <f aca="false">IF(AND(WBS!$I8&lt;&gt;"",WBS!$I8&lt;=F$3+6,WBS!$J8&gt;=F$3),"A",IF(AND(WBS!$F8&lt;=F$3+6,WBS!$G8&gt;=F$3),"X",""))</f>
        <v/>
      </c>
      <c r="G8" s="4" t="str">
        <f aca="false">IF(AND(WBS!$I8&lt;&gt;"",WBS!$I8&lt;=G$3+6,WBS!$J8&gt;=G$3),"A",IF(AND(WBS!$F8&lt;=G$3+6,WBS!$G8&gt;=G$3),"X",""))</f>
        <v>A</v>
      </c>
      <c r="H8" s="4" t="str">
        <f aca="false">IF(AND(WBS!$I8&lt;&gt;"",WBS!$I8&lt;=H$3+6,WBS!$J8&gt;=H$3),"A",IF(AND(WBS!$F8&lt;=H$3+6,WBS!$G8&gt;=H$3),"X",""))</f>
        <v/>
      </c>
      <c r="I8" s="4" t="str">
        <f aca="false">IF(AND(WBS!$I8&lt;&gt;"",WBS!$I8&lt;=I$3+6,WBS!$J8&gt;=I$3),"A",IF(AND(WBS!$F8&lt;=I$3+6,WBS!$G8&gt;=I$3),"X",""))</f>
        <v/>
      </c>
      <c r="J8" s="4" t="str">
        <f aca="false">IF(AND(WBS!$I8&lt;&gt;"",WBS!$I8&lt;=J$3+6,WBS!$J8&gt;=J$3),"A",IF(AND(WBS!$F8&lt;=J$3+6,WBS!$G8&gt;=J$3),"X",""))</f>
        <v/>
      </c>
      <c r="K8" s="4" t="str">
        <f aca="false">IF(AND(WBS!$I8&lt;&gt;"",WBS!$I8&lt;=K$3+6,WBS!$J8&gt;=K$3),"A",IF(AND(WBS!$F8&lt;=K$3+6,WBS!$G8&gt;=K$3),"X",""))</f>
        <v/>
      </c>
      <c r="L8" s="4" t="str">
        <f aca="false">IF(AND(WBS!$I8&lt;&gt;"",WBS!$I8&lt;=L$3+6,WBS!$J8&gt;=L$3),"A",IF(AND(WBS!$F8&lt;=L$3+6,WBS!$G8&gt;=L$3),"X",""))</f>
        <v/>
      </c>
      <c r="M8" s="4" t="str">
        <f aca="false">IF(AND(WBS!$I8&lt;&gt;"",WBS!$I8&lt;=M$3+6,WBS!$J8&gt;=M$3),"A",IF(AND(WBS!$F8&lt;=M$3+6,WBS!$G8&gt;=M$3),"X",""))</f>
        <v/>
      </c>
      <c r="N8" s="4" t="str">
        <f aca="false">IF(AND(WBS!$I8&lt;&gt;"",WBS!$I8&lt;=N$3+6,WBS!$J8&gt;=N$3),"A",IF(AND(WBS!$F8&lt;=N$3+6,WBS!$G8&gt;=N$3),"X",""))</f>
        <v/>
      </c>
      <c r="O8" s="4" t="str">
        <f aca="false">IF(AND(WBS!$I8&lt;&gt;"",WBS!$I8&lt;=O$3+6,WBS!$J8&gt;=O$3),"A",IF(AND(WBS!$F8&lt;=O$3+6,WBS!$G8&gt;=O$3),"X",""))</f>
        <v/>
      </c>
      <c r="P8" s="4" t="str">
        <f aca="false">IF(AND(WBS!$I8&lt;&gt;"",WBS!$I8&lt;=P$3+6,WBS!$J8&gt;=P$3),"A",IF(AND(WBS!$F8&lt;=P$3+6,WBS!$G8&gt;=P$3),"X",""))</f>
        <v/>
      </c>
      <c r="Q8" s="4" t="str">
        <f aca="false">IF(AND(WBS!$I8&lt;&gt;"",WBS!$I8&lt;=Q$3+6,WBS!$J8&gt;=Q$3),"A",IF(AND(WBS!$F8&lt;=Q$3+6,WBS!$G8&gt;=Q$3),"X",""))</f>
        <v/>
      </c>
    </row>
    <row r="9" customFormat="false" ht="15" hidden="false" customHeight="false" outlineLevel="0" collapsed="false">
      <c r="A9" s="4" t="str">
        <f aca="false">WBS!A9</f>
        <v>1.1</v>
      </c>
      <c r="B9" s="5" t="str">
        <f aca="false">WBS!C9</f>
        <v>Audit 12 workflow LPMS-3 di branch main</v>
      </c>
      <c r="C9" s="4" t="str">
        <f aca="false">WBS!E9</f>
        <v>Selesai</v>
      </c>
      <c r="D9" s="4" t="str">
        <f aca="false">IF(AND(WBS!$I9&lt;&gt;"",WBS!$I9&lt;=D$3+6,WBS!$J9&gt;=D$3),"A",IF(AND(WBS!$F9&lt;=D$3+6,WBS!$G9&gt;=D$3),"X",""))</f>
        <v/>
      </c>
      <c r="E9" s="4" t="str">
        <f aca="false">IF(AND(WBS!$I9&lt;&gt;"",WBS!$I9&lt;=E$3+6,WBS!$J9&gt;=E$3),"A",IF(AND(WBS!$F9&lt;=E$3+6,WBS!$G9&gt;=E$3),"X",""))</f>
        <v>X</v>
      </c>
      <c r="F9" s="4" t="str">
        <f aca="false">IF(AND(WBS!$I9&lt;&gt;"",WBS!$I9&lt;=F$3+6,WBS!$J9&gt;=F$3),"A",IF(AND(WBS!$F9&lt;=F$3+6,WBS!$G9&gt;=F$3),"X",""))</f>
        <v/>
      </c>
      <c r="G9" s="4" t="str">
        <f aca="false">IF(AND(WBS!$I9&lt;&gt;"",WBS!$I9&lt;=G$3+6,WBS!$J9&gt;=G$3),"A",IF(AND(WBS!$F9&lt;=G$3+6,WBS!$G9&gt;=G$3),"X",""))</f>
        <v/>
      </c>
      <c r="H9" s="4" t="str">
        <f aca="false">IF(AND(WBS!$I9&lt;&gt;"",WBS!$I9&lt;=H$3+6,WBS!$J9&gt;=H$3),"A",IF(AND(WBS!$F9&lt;=H$3+6,WBS!$G9&gt;=H$3),"X",""))</f>
        <v/>
      </c>
      <c r="I9" s="4" t="str">
        <f aca="false">IF(AND(WBS!$I9&lt;&gt;"",WBS!$I9&lt;=I$3+6,WBS!$J9&gt;=I$3),"A",IF(AND(WBS!$F9&lt;=I$3+6,WBS!$G9&gt;=I$3),"X",""))</f>
        <v/>
      </c>
      <c r="J9" s="4" t="str">
        <f aca="false">IF(AND(WBS!$I9&lt;&gt;"",WBS!$I9&lt;=J$3+6,WBS!$J9&gt;=J$3),"A",IF(AND(WBS!$F9&lt;=J$3+6,WBS!$G9&gt;=J$3),"X",""))</f>
        <v/>
      </c>
      <c r="K9" s="4" t="str">
        <f aca="false">IF(AND(WBS!$I9&lt;&gt;"",WBS!$I9&lt;=K$3+6,WBS!$J9&gt;=K$3),"A",IF(AND(WBS!$F9&lt;=K$3+6,WBS!$G9&gt;=K$3),"X",""))</f>
        <v>A</v>
      </c>
      <c r="L9" s="4" t="str">
        <f aca="false">IF(AND(WBS!$I9&lt;&gt;"",WBS!$I9&lt;=L$3+6,WBS!$J9&gt;=L$3),"A",IF(AND(WBS!$F9&lt;=L$3+6,WBS!$G9&gt;=L$3),"X",""))</f>
        <v/>
      </c>
      <c r="M9" s="4" t="str">
        <f aca="false">IF(AND(WBS!$I9&lt;&gt;"",WBS!$I9&lt;=M$3+6,WBS!$J9&gt;=M$3),"A",IF(AND(WBS!$F9&lt;=M$3+6,WBS!$G9&gt;=M$3),"X",""))</f>
        <v/>
      </c>
      <c r="N9" s="4" t="str">
        <f aca="false">IF(AND(WBS!$I9&lt;&gt;"",WBS!$I9&lt;=N$3+6,WBS!$J9&gt;=N$3),"A",IF(AND(WBS!$F9&lt;=N$3+6,WBS!$G9&gt;=N$3),"X",""))</f>
        <v/>
      </c>
      <c r="O9" s="4" t="str">
        <f aca="false">IF(AND(WBS!$I9&lt;&gt;"",WBS!$I9&lt;=O$3+6,WBS!$J9&gt;=O$3),"A",IF(AND(WBS!$F9&lt;=O$3+6,WBS!$G9&gt;=O$3),"X",""))</f>
        <v/>
      </c>
      <c r="P9" s="4" t="str">
        <f aca="false">IF(AND(WBS!$I9&lt;&gt;"",WBS!$I9&lt;=P$3+6,WBS!$J9&gt;=P$3),"A",IF(AND(WBS!$F9&lt;=P$3+6,WBS!$G9&gt;=P$3),"X",""))</f>
        <v/>
      </c>
      <c r="Q9" s="4" t="str">
        <f aca="false">IF(AND(WBS!$I9&lt;&gt;"",WBS!$I9&lt;=Q$3+6,WBS!$J9&gt;=Q$3),"A",IF(AND(WBS!$F9&lt;=Q$3+6,WBS!$G9&gt;=Q$3),"X",""))</f>
        <v/>
      </c>
    </row>
    <row r="10" customFormat="false" ht="15" hidden="false" customHeight="false" outlineLevel="0" collapsed="false">
      <c r="A10" s="4" t="str">
        <f aca="false">WBS!A10</f>
        <v>1.2</v>
      </c>
      <c r="B10" s="5" t="str">
        <f aca="false">WBS!C10</f>
        <v>Deteksi checkout lokal basi (branch zai)</v>
      </c>
      <c r="C10" s="4" t="str">
        <f aca="false">WBS!E10</f>
        <v>Selesai</v>
      </c>
      <c r="D10" s="4" t="str">
        <f aca="false">IF(AND(WBS!$I10&lt;&gt;"",WBS!$I10&lt;=D$3+6,WBS!$J10&gt;=D$3),"A",IF(AND(WBS!$F10&lt;=D$3+6,WBS!$G10&gt;=D$3),"X",""))</f>
        <v/>
      </c>
      <c r="E10" s="4" t="str">
        <f aca="false">IF(AND(WBS!$I10&lt;&gt;"",WBS!$I10&lt;=E$3+6,WBS!$J10&gt;=E$3),"A",IF(AND(WBS!$F10&lt;=E$3+6,WBS!$G10&gt;=E$3),"X",""))</f>
        <v>X</v>
      </c>
      <c r="F10" s="4" t="str">
        <f aca="false">IF(AND(WBS!$I10&lt;&gt;"",WBS!$I10&lt;=F$3+6,WBS!$J10&gt;=F$3),"A",IF(AND(WBS!$F10&lt;=F$3+6,WBS!$G10&gt;=F$3),"X",""))</f>
        <v/>
      </c>
      <c r="G10" s="4" t="str">
        <f aca="false">IF(AND(WBS!$I10&lt;&gt;"",WBS!$I10&lt;=G$3+6,WBS!$J10&gt;=G$3),"A",IF(AND(WBS!$F10&lt;=G$3+6,WBS!$G10&gt;=G$3),"X",""))</f>
        <v/>
      </c>
      <c r="H10" s="4" t="str">
        <f aca="false">IF(AND(WBS!$I10&lt;&gt;"",WBS!$I10&lt;=H$3+6,WBS!$J10&gt;=H$3),"A",IF(AND(WBS!$F10&lt;=H$3+6,WBS!$G10&gt;=H$3),"X",""))</f>
        <v/>
      </c>
      <c r="I10" s="4" t="str">
        <f aca="false">IF(AND(WBS!$I10&lt;&gt;"",WBS!$I10&lt;=I$3+6,WBS!$J10&gt;=I$3),"A",IF(AND(WBS!$F10&lt;=I$3+6,WBS!$G10&gt;=I$3),"X",""))</f>
        <v/>
      </c>
      <c r="J10" s="4" t="str">
        <f aca="false">IF(AND(WBS!$I10&lt;&gt;"",WBS!$I10&lt;=J$3+6,WBS!$J10&gt;=J$3),"A",IF(AND(WBS!$F10&lt;=J$3+6,WBS!$G10&gt;=J$3),"X",""))</f>
        <v/>
      </c>
      <c r="K10" s="4" t="str">
        <f aca="false">IF(AND(WBS!$I10&lt;&gt;"",WBS!$I10&lt;=K$3+6,WBS!$J10&gt;=K$3),"A",IF(AND(WBS!$F10&lt;=K$3+6,WBS!$G10&gt;=K$3),"X",""))</f>
        <v>A</v>
      </c>
      <c r="L10" s="4" t="str">
        <f aca="false">IF(AND(WBS!$I10&lt;&gt;"",WBS!$I10&lt;=L$3+6,WBS!$J10&gt;=L$3),"A",IF(AND(WBS!$F10&lt;=L$3+6,WBS!$G10&gt;=L$3),"X",""))</f>
        <v/>
      </c>
      <c r="M10" s="4" t="str">
        <f aca="false">IF(AND(WBS!$I10&lt;&gt;"",WBS!$I10&lt;=M$3+6,WBS!$J10&gt;=M$3),"A",IF(AND(WBS!$F10&lt;=M$3+6,WBS!$G10&gt;=M$3),"X",""))</f>
        <v/>
      </c>
      <c r="N10" s="4" t="str">
        <f aca="false">IF(AND(WBS!$I10&lt;&gt;"",WBS!$I10&lt;=N$3+6,WBS!$J10&gt;=N$3),"A",IF(AND(WBS!$F10&lt;=N$3+6,WBS!$G10&gt;=N$3),"X",""))</f>
        <v/>
      </c>
      <c r="O10" s="4" t="str">
        <f aca="false">IF(AND(WBS!$I10&lt;&gt;"",WBS!$I10&lt;=O$3+6,WBS!$J10&gt;=O$3),"A",IF(AND(WBS!$F10&lt;=O$3+6,WBS!$G10&gt;=O$3),"X",""))</f>
        <v/>
      </c>
      <c r="P10" s="4" t="str">
        <f aca="false">IF(AND(WBS!$I10&lt;&gt;"",WBS!$I10&lt;=P$3+6,WBS!$J10&gt;=P$3),"A",IF(AND(WBS!$F10&lt;=P$3+6,WBS!$G10&gt;=P$3),"X",""))</f>
        <v/>
      </c>
      <c r="Q10" s="4" t="str">
        <f aca="false">IF(AND(WBS!$I10&lt;&gt;"",WBS!$I10&lt;=Q$3+6,WBS!$J10&gt;=Q$3),"A",IF(AND(WBS!$F10&lt;=Q$3+6,WBS!$G10&gt;=Q$3),"X",""))</f>
        <v/>
      </c>
    </row>
    <row r="11" customFormat="false" ht="15" hidden="false" customHeight="false" outlineLevel="0" collapsed="false">
      <c r="A11" s="4" t="str">
        <f aca="false">WBS!A11</f>
        <v>1.3</v>
      </c>
      <c r="B11" s="5" t="str">
        <f aca="false">WBS!C11</f>
        <v>Penetapan stack target HDL</v>
      </c>
      <c r="C11" s="4" t="str">
        <f aca="false">WBS!E11</f>
        <v>Selesai</v>
      </c>
      <c r="D11" s="4" t="str">
        <f aca="false">IF(AND(WBS!$I11&lt;&gt;"",WBS!$I11&lt;=D$3+6,WBS!$J11&gt;=D$3),"A",IF(AND(WBS!$F11&lt;=D$3+6,WBS!$G11&gt;=D$3),"X",""))</f>
        <v/>
      </c>
      <c r="E11" s="4" t="str">
        <f aca="false">IF(AND(WBS!$I11&lt;&gt;"",WBS!$I11&lt;=E$3+6,WBS!$J11&gt;=E$3),"A",IF(AND(WBS!$F11&lt;=E$3+6,WBS!$G11&gt;=E$3),"X",""))</f>
        <v/>
      </c>
      <c r="F11" s="4" t="str">
        <f aca="false">IF(AND(WBS!$I11&lt;&gt;"",WBS!$I11&lt;=F$3+6,WBS!$J11&gt;=F$3),"A",IF(AND(WBS!$F11&lt;=F$3+6,WBS!$G11&gt;=F$3),"X",""))</f>
        <v>X</v>
      </c>
      <c r="G11" s="4" t="str">
        <f aca="false">IF(AND(WBS!$I11&lt;&gt;"",WBS!$I11&lt;=G$3+6,WBS!$J11&gt;=G$3),"A",IF(AND(WBS!$F11&lt;=G$3+6,WBS!$G11&gt;=G$3),"X",""))</f>
        <v/>
      </c>
      <c r="H11" s="4" t="str">
        <f aca="false">IF(AND(WBS!$I11&lt;&gt;"",WBS!$I11&lt;=H$3+6,WBS!$J11&gt;=H$3),"A",IF(AND(WBS!$F11&lt;=H$3+6,WBS!$G11&gt;=H$3),"X",""))</f>
        <v/>
      </c>
      <c r="I11" s="4" t="str">
        <f aca="false">IF(AND(WBS!$I11&lt;&gt;"",WBS!$I11&lt;=I$3+6,WBS!$J11&gt;=I$3),"A",IF(AND(WBS!$F11&lt;=I$3+6,WBS!$G11&gt;=I$3),"X",""))</f>
        <v/>
      </c>
      <c r="J11" s="4" t="str">
        <f aca="false">IF(AND(WBS!$I11&lt;&gt;"",WBS!$I11&lt;=J$3+6,WBS!$J11&gt;=J$3),"A",IF(AND(WBS!$F11&lt;=J$3+6,WBS!$G11&gt;=J$3),"X",""))</f>
        <v/>
      </c>
      <c r="K11" s="4" t="str">
        <f aca="false">IF(AND(WBS!$I11&lt;&gt;"",WBS!$I11&lt;=K$3+6,WBS!$J11&gt;=K$3),"A",IF(AND(WBS!$F11&lt;=K$3+6,WBS!$G11&gt;=K$3),"X",""))</f>
        <v>A</v>
      </c>
      <c r="L11" s="4" t="str">
        <f aca="false">IF(AND(WBS!$I11&lt;&gt;"",WBS!$I11&lt;=L$3+6,WBS!$J11&gt;=L$3),"A",IF(AND(WBS!$F11&lt;=L$3+6,WBS!$G11&gt;=L$3),"X",""))</f>
        <v/>
      </c>
      <c r="M11" s="4" t="str">
        <f aca="false">IF(AND(WBS!$I11&lt;&gt;"",WBS!$I11&lt;=M$3+6,WBS!$J11&gt;=M$3),"A",IF(AND(WBS!$F11&lt;=M$3+6,WBS!$G11&gt;=M$3),"X",""))</f>
        <v/>
      </c>
      <c r="N11" s="4" t="str">
        <f aca="false">IF(AND(WBS!$I11&lt;&gt;"",WBS!$I11&lt;=N$3+6,WBS!$J11&gt;=N$3),"A",IF(AND(WBS!$F11&lt;=N$3+6,WBS!$G11&gt;=N$3),"X",""))</f>
        <v/>
      </c>
      <c r="O11" s="4" t="str">
        <f aca="false">IF(AND(WBS!$I11&lt;&gt;"",WBS!$I11&lt;=O$3+6,WBS!$J11&gt;=O$3),"A",IF(AND(WBS!$F11&lt;=O$3+6,WBS!$G11&gt;=O$3),"X",""))</f>
        <v/>
      </c>
      <c r="P11" s="4" t="str">
        <f aca="false">IF(AND(WBS!$I11&lt;&gt;"",WBS!$I11&lt;=P$3+6,WBS!$J11&gt;=P$3),"A",IF(AND(WBS!$F11&lt;=P$3+6,WBS!$G11&gt;=P$3),"X",""))</f>
        <v/>
      </c>
      <c r="Q11" s="4" t="str">
        <f aca="false">IF(AND(WBS!$I11&lt;&gt;"",WBS!$I11&lt;=Q$3+6,WBS!$J11&gt;=Q$3),"A",IF(AND(WBS!$F11&lt;=Q$3+6,WBS!$G11&gt;=Q$3),"X",""))</f>
        <v/>
      </c>
    </row>
    <row r="12" customFormat="false" ht="15" hidden="false" customHeight="false" outlineLevel="0" collapsed="false">
      <c r="A12" s="4" t="str">
        <f aca="false">WBS!A12</f>
        <v>1.4</v>
      </c>
      <c r="B12" s="5" t="str">
        <f aca="false">WBS!C12</f>
        <v>Keputusan cakupan 5 dari 12 workflow</v>
      </c>
      <c r="C12" s="4" t="str">
        <f aca="false">WBS!E12</f>
        <v>Selesai</v>
      </c>
      <c r="D12" s="4" t="str">
        <f aca="false">IF(AND(WBS!$I12&lt;&gt;"",WBS!$I12&lt;=D$3+6,WBS!$J12&gt;=D$3),"A",IF(AND(WBS!$F12&lt;=D$3+6,WBS!$G12&gt;=D$3),"X",""))</f>
        <v/>
      </c>
      <c r="E12" s="4" t="str">
        <f aca="false">IF(AND(WBS!$I12&lt;&gt;"",WBS!$I12&lt;=E$3+6,WBS!$J12&gt;=E$3),"A",IF(AND(WBS!$F12&lt;=E$3+6,WBS!$G12&gt;=E$3),"X",""))</f>
        <v/>
      </c>
      <c r="F12" s="4" t="str">
        <f aca="false">IF(AND(WBS!$I12&lt;&gt;"",WBS!$I12&lt;=F$3+6,WBS!$J12&gt;=F$3),"A",IF(AND(WBS!$F12&lt;=F$3+6,WBS!$G12&gt;=F$3),"X",""))</f>
        <v>X</v>
      </c>
      <c r="G12" s="4" t="str">
        <f aca="false">IF(AND(WBS!$I12&lt;&gt;"",WBS!$I12&lt;=G$3+6,WBS!$J12&gt;=G$3),"A",IF(AND(WBS!$F12&lt;=G$3+6,WBS!$G12&gt;=G$3),"X",""))</f>
        <v/>
      </c>
      <c r="H12" s="4" t="str">
        <f aca="false">IF(AND(WBS!$I12&lt;&gt;"",WBS!$I12&lt;=H$3+6,WBS!$J12&gt;=H$3),"A",IF(AND(WBS!$F12&lt;=H$3+6,WBS!$G12&gt;=H$3),"X",""))</f>
        <v/>
      </c>
      <c r="I12" s="4" t="str">
        <f aca="false">IF(AND(WBS!$I12&lt;&gt;"",WBS!$I12&lt;=I$3+6,WBS!$J12&gt;=I$3),"A",IF(AND(WBS!$F12&lt;=I$3+6,WBS!$G12&gt;=I$3),"X",""))</f>
        <v/>
      </c>
      <c r="J12" s="4" t="str">
        <f aca="false">IF(AND(WBS!$I12&lt;&gt;"",WBS!$I12&lt;=J$3+6,WBS!$J12&gt;=J$3),"A",IF(AND(WBS!$F12&lt;=J$3+6,WBS!$G12&gt;=J$3),"X",""))</f>
        <v/>
      </c>
      <c r="K12" s="4" t="str">
        <f aca="false">IF(AND(WBS!$I12&lt;&gt;"",WBS!$I12&lt;=K$3+6,WBS!$J12&gt;=K$3),"A",IF(AND(WBS!$F12&lt;=K$3+6,WBS!$G12&gt;=K$3),"X",""))</f>
        <v>A</v>
      </c>
      <c r="L12" s="4" t="str">
        <f aca="false">IF(AND(WBS!$I12&lt;&gt;"",WBS!$I12&lt;=L$3+6,WBS!$J12&gt;=L$3),"A",IF(AND(WBS!$F12&lt;=L$3+6,WBS!$G12&gt;=L$3),"X",""))</f>
        <v/>
      </c>
      <c r="M12" s="4" t="str">
        <f aca="false">IF(AND(WBS!$I12&lt;&gt;"",WBS!$I12&lt;=M$3+6,WBS!$J12&gt;=M$3),"A",IF(AND(WBS!$F12&lt;=M$3+6,WBS!$G12&gt;=M$3),"X",""))</f>
        <v/>
      </c>
      <c r="N12" s="4" t="str">
        <f aca="false">IF(AND(WBS!$I12&lt;&gt;"",WBS!$I12&lt;=N$3+6,WBS!$J12&gt;=N$3),"A",IF(AND(WBS!$F12&lt;=N$3+6,WBS!$G12&gt;=N$3),"X",""))</f>
        <v/>
      </c>
      <c r="O12" s="4" t="str">
        <f aca="false">IF(AND(WBS!$I12&lt;&gt;"",WBS!$I12&lt;=O$3+6,WBS!$J12&gt;=O$3),"A",IF(AND(WBS!$F12&lt;=O$3+6,WBS!$G12&gt;=O$3),"X",""))</f>
        <v/>
      </c>
      <c r="P12" s="4" t="str">
        <f aca="false">IF(AND(WBS!$I12&lt;&gt;"",WBS!$I12&lt;=P$3+6,WBS!$J12&gt;=P$3),"A",IF(AND(WBS!$F12&lt;=P$3+6,WBS!$G12&gt;=P$3),"X",""))</f>
        <v/>
      </c>
      <c r="Q12" s="4" t="str">
        <f aca="false">IF(AND(WBS!$I12&lt;&gt;"",WBS!$I12&lt;=Q$3+6,WBS!$J12&gt;=Q$3),"A",IF(AND(WBS!$F12&lt;=Q$3+6,WBS!$G12&gt;=Q$3),"X",""))</f>
        <v/>
      </c>
    </row>
    <row r="13" customFormat="false" ht="15" hidden="false" customHeight="false" outlineLevel="0" collapsed="false">
      <c r="A13" s="4" t="str">
        <f aca="false">WBS!A13</f>
        <v>2.1</v>
      </c>
      <c r="B13" s="5" t="str">
        <f aca="false">WBS!C13</f>
        <v>agent-trigger.yml - 505 baris</v>
      </c>
      <c r="C13" s="4" t="str">
        <f aca="false">WBS!E13</f>
        <v>Selesai</v>
      </c>
      <c r="D13" s="4" t="str">
        <f aca="false">IF(AND(WBS!$I13&lt;&gt;"",WBS!$I13&lt;=D$3+6,WBS!$J13&gt;=D$3),"A",IF(AND(WBS!$F13&lt;=D$3+6,WBS!$G13&gt;=D$3),"X",""))</f>
        <v/>
      </c>
      <c r="E13" s="4" t="str">
        <f aca="false">IF(AND(WBS!$I13&lt;&gt;"",WBS!$I13&lt;=E$3+6,WBS!$J13&gt;=E$3),"A",IF(AND(WBS!$F13&lt;=E$3+6,WBS!$G13&gt;=E$3),"X",""))</f>
        <v/>
      </c>
      <c r="F13" s="4" t="str">
        <f aca="false">IF(AND(WBS!$I13&lt;&gt;"",WBS!$I13&lt;=F$3+6,WBS!$J13&gt;=F$3),"A",IF(AND(WBS!$F13&lt;=F$3+6,WBS!$G13&gt;=F$3),"X",""))</f>
        <v/>
      </c>
      <c r="G13" s="4" t="str">
        <f aca="false">IF(AND(WBS!$I13&lt;&gt;"",WBS!$I13&lt;=G$3+6,WBS!$J13&gt;=G$3),"A",IF(AND(WBS!$F13&lt;=G$3+6,WBS!$G13&gt;=G$3),"X",""))</f>
        <v>X</v>
      </c>
      <c r="H13" s="4" t="str">
        <f aca="false">IF(AND(WBS!$I13&lt;&gt;"",WBS!$I13&lt;=H$3+6,WBS!$J13&gt;=H$3),"A",IF(AND(WBS!$F13&lt;=H$3+6,WBS!$G13&gt;=H$3),"X",""))</f>
        <v/>
      </c>
      <c r="I13" s="4" t="str">
        <f aca="false">IF(AND(WBS!$I13&lt;&gt;"",WBS!$I13&lt;=I$3+6,WBS!$J13&gt;=I$3),"A",IF(AND(WBS!$F13&lt;=I$3+6,WBS!$G13&gt;=I$3),"X",""))</f>
        <v/>
      </c>
      <c r="J13" s="4" t="str">
        <f aca="false">IF(AND(WBS!$I13&lt;&gt;"",WBS!$I13&lt;=J$3+6,WBS!$J13&gt;=J$3),"A",IF(AND(WBS!$F13&lt;=J$3+6,WBS!$G13&gt;=J$3),"X",""))</f>
        <v/>
      </c>
      <c r="K13" s="4" t="str">
        <f aca="false">IF(AND(WBS!$I13&lt;&gt;"",WBS!$I13&lt;=K$3+6,WBS!$J13&gt;=K$3),"A",IF(AND(WBS!$F13&lt;=K$3+6,WBS!$G13&gt;=K$3),"X",""))</f>
        <v>A</v>
      </c>
      <c r="L13" s="4" t="str">
        <f aca="false">IF(AND(WBS!$I13&lt;&gt;"",WBS!$I13&lt;=L$3+6,WBS!$J13&gt;=L$3),"A",IF(AND(WBS!$F13&lt;=L$3+6,WBS!$G13&gt;=L$3),"X",""))</f>
        <v/>
      </c>
      <c r="M13" s="4" t="str">
        <f aca="false">IF(AND(WBS!$I13&lt;&gt;"",WBS!$I13&lt;=M$3+6,WBS!$J13&gt;=M$3),"A",IF(AND(WBS!$F13&lt;=M$3+6,WBS!$G13&gt;=M$3),"X",""))</f>
        <v/>
      </c>
      <c r="N13" s="4" t="str">
        <f aca="false">IF(AND(WBS!$I13&lt;&gt;"",WBS!$I13&lt;=N$3+6,WBS!$J13&gt;=N$3),"A",IF(AND(WBS!$F13&lt;=N$3+6,WBS!$G13&gt;=N$3),"X",""))</f>
        <v/>
      </c>
      <c r="O13" s="4" t="str">
        <f aca="false">IF(AND(WBS!$I13&lt;&gt;"",WBS!$I13&lt;=O$3+6,WBS!$J13&gt;=O$3),"A",IF(AND(WBS!$F13&lt;=O$3+6,WBS!$G13&gt;=O$3),"X",""))</f>
        <v/>
      </c>
      <c r="P13" s="4" t="str">
        <f aca="false">IF(AND(WBS!$I13&lt;&gt;"",WBS!$I13&lt;=P$3+6,WBS!$J13&gt;=P$3),"A",IF(AND(WBS!$F13&lt;=P$3+6,WBS!$G13&gt;=P$3),"X",""))</f>
        <v/>
      </c>
      <c r="Q13" s="4" t="str">
        <f aca="false">IF(AND(WBS!$I13&lt;&gt;"",WBS!$I13&lt;=Q$3+6,WBS!$J13&gt;=Q$3),"A",IF(AND(WBS!$F13&lt;=Q$3+6,WBS!$G13&gt;=Q$3),"X",""))</f>
        <v/>
      </c>
    </row>
    <row r="14" customFormat="false" ht="15" hidden="false" customHeight="false" outlineLevel="0" collapsed="false">
      <c r="A14" s="4" t="str">
        <f aca="false">WBS!A14</f>
        <v>2.2</v>
      </c>
      <c r="B14" s="5" t="str">
        <f aca="false">WBS!C14</f>
        <v>agent-fix.yml - 303 baris</v>
      </c>
      <c r="C14" s="4" t="str">
        <f aca="false">WBS!E14</f>
        <v>Selesai</v>
      </c>
      <c r="D14" s="4" t="str">
        <f aca="false">IF(AND(WBS!$I14&lt;&gt;"",WBS!$I14&lt;=D$3+6,WBS!$J14&gt;=D$3),"A",IF(AND(WBS!$F14&lt;=D$3+6,WBS!$G14&gt;=D$3),"X",""))</f>
        <v/>
      </c>
      <c r="E14" s="4" t="str">
        <f aca="false">IF(AND(WBS!$I14&lt;&gt;"",WBS!$I14&lt;=E$3+6,WBS!$J14&gt;=E$3),"A",IF(AND(WBS!$F14&lt;=E$3+6,WBS!$G14&gt;=E$3),"X",""))</f>
        <v/>
      </c>
      <c r="F14" s="4" t="str">
        <f aca="false">IF(AND(WBS!$I14&lt;&gt;"",WBS!$I14&lt;=F$3+6,WBS!$J14&gt;=F$3),"A",IF(AND(WBS!$F14&lt;=F$3+6,WBS!$G14&gt;=F$3),"X",""))</f>
        <v/>
      </c>
      <c r="G14" s="4" t="str">
        <f aca="false">IF(AND(WBS!$I14&lt;&gt;"",WBS!$I14&lt;=G$3+6,WBS!$J14&gt;=G$3),"A",IF(AND(WBS!$F14&lt;=G$3+6,WBS!$G14&gt;=G$3),"X",""))</f>
        <v>X</v>
      </c>
      <c r="H14" s="4" t="str">
        <f aca="false">IF(AND(WBS!$I14&lt;&gt;"",WBS!$I14&lt;=H$3+6,WBS!$J14&gt;=H$3),"A",IF(AND(WBS!$F14&lt;=H$3+6,WBS!$G14&gt;=H$3),"X",""))</f>
        <v/>
      </c>
      <c r="I14" s="4" t="str">
        <f aca="false">IF(AND(WBS!$I14&lt;&gt;"",WBS!$I14&lt;=I$3+6,WBS!$J14&gt;=I$3),"A",IF(AND(WBS!$F14&lt;=I$3+6,WBS!$G14&gt;=I$3),"X",""))</f>
        <v/>
      </c>
      <c r="J14" s="4" t="str">
        <f aca="false">IF(AND(WBS!$I14&lt;&gt;"",WBS!$I14&lt;=J$3+6,WBS!$J14&gt;=J$3),"A",IF(AND(WBS!$F14&lt;=J$3+6,WBS!$G14&gt;=J$3),"X",""))</f>
        <v/>
      </c>
      <c r="K14" s="4" t="str">
        <f aca="false">IF(AND(WBS!$I14&lt;&gt;"",WBS!$I14&lt;=K$3+6,WBS!$J14&gt;=K$3),"A",IF(AND(WBS!$F14&lt;=K$3+6,WBS!$G14&gt;=K$3),"X",""))</f>
        <v>A</v>
      </c>
      <c r="L14" s="4" t="str">
        <f aca="false">IF(AND(WBS!$I14&lt;&gt;"",WBS!$I14&lt;=L$3+6,WBS!$J14&gt;=L$3),"A",IF(AND(WBS!$F14&lt;=L$3+6,WBS!$G14&gt;=L$3),"X",""))</f>
        <v/>
      </c>
      <c r="M14" s="4" t="str">
        <f aca="false">IF(AND(WBS!$I14&lt;&gt;"",WBS!$I14&lt;=M$3+6,WBS!$J14&gt;=M$3),"A",IF(AND(WBS!$F14&lt;=M$3+6,WBS!$G14&gt;=M$3),"X",""))</f>
        <v/>
      </c>
      <c r="N14" s="4" t="str">
        <f aca="false">IF(AND(WBS!$I14&lt;&gt;"",WBS!$I14&lt;=N$3+6,WBS!$J14&gt;=N$3),"A",IF(AND(WBS!$F14&lt;=N$3+6,WBS!$G14&gt;=N$3),"X",""))</f>
        <v/>
      </c>
      <c r="O14" s="4" t="str">
        <f aca="false">IF(AND(WBS!$I14&lt;&gt;"",WBS!$I14&lt;=O$3+6,WBS!$J14&gt;=O$3),"A",IF(AND(WBS!$F14&lt;=O$3+6,WBS!$G14&gt;=O$3),"X",""))</f>
        <v/>
      </c>
      <c r="P14" s="4" t="str">
        <f aca="false">IF(AND(WBS!$I14&lt;&gt;"",WBS!$I14&lt;=P$3+6,WBS!$J14&gt;=P$3),"A",IF(AND(WBS!$F14&lt;=P$3+6,WBS!$G14&gt;=P$3),"X",""))</f>
        <v/>
      </c>
      <c r="Q14" s="4" t="str">
        <f aca="false">IF(AND(WBS!$I14&lt;&gt;"",WBS!$I14&lt;=Q$3+6,WBS!$J14&gt;=Q$3),"A",IF(AND(WBS!$F14&lt;=Q$3+6,WBS!$G14&gt;=Q$3),"X",""))</f>
        <v/>
      </c>
    </row>
    <row r="15" customFormat="false" ht="15" hidden="false" customHeight="false" outlineLevel="0" collapsed="false">
      <c r="A15" s="4" t="str">
        <f aca="false">WBS!A15</f>
        <v>2.3</v>
      </c>
      <c r="B15" s="5" t="str">
        <f aca="false">WBS!C15</f>
        <v>ac-verify.yml - 521 baris</v>
      </c>
      <c r="C15" s="4" t="str">
        <f aca="false">WBS!E15</f>
        <v>Selesai</v>
      </c>
      <c r="D15" s="4" t="str">
        <f aca="false">IF(AND(WBS!$I15&lt;&gt;"",WBS!$I15&lt;=D$3+6,WBS!$J15&gt;=D$3),"A",IF(AND(WBS!$F15&lt;=D$3+6,WBS!$G15&gt;=D$3),"X",""))</f>
        <v/>
      </c>
      <c r="E15" s="4" t="str">
        <f aca="false">IF(AND(WBS!$I15&lt;&gt;"",WBS!$I15&lt;=E$3+6,WBS!$J15&gt;=E$3),"A",IF(AND(WBS!$F15&lt;=E$3+6,WBS!$G15&gt;=E$3),"X",""))</f>
        <v/>
      </c>
      <c r="F15" s="4" t="str">
        <f aca="false">IF(AND(WBS!$I15&lt;&gt;"",WBS!$I15&lt;=F$3+6,WBS!$J15&gt;=F$3),"A",IF(AND(WBS!$F15&lt;=F$3+6,WBS!$G15&gt;=F$3),"X",""))</f>
        <v/>
      </c>
      <c r="G15" s="4" t="str">
        <f aca="false">IF(AND(WBS!$I15&lt;&gt;"",WBS!$I15&lt;=G$3+6,WBS!$J15&gt;=G$3),"A",IF(AND(WBS!$F15&lt;=G$3+6,WBS!$G15&gt;=G$3),"X",""))</f>
        <v/>
      </c>
      <c r="H15" s="4" t="str">
        <f aca="false">IF(AND(WBS!$I15&lt;&gt;"",WBS!$I15&lt;=H$3+6,WBS!$J15&gt;=H$3),"A",IF(AND(WBS!$F15&lt;=H$3+6,WBS!$G15&gt;=H$3),"X",""))</f>
        <v>X</v>
      </c>
      <c r="I15" s="4" t="str">
        <f aca="false">IF(AND(WBS!$I15&lt;&gt;"",WBS!$I15&lt;=I$3+6,WBS!$J15&gt;=I$3),"A",IF(AND(WBS!$F15&lt;=I$3+6,WBS!$G15&gt;=I$3),"X",""))</f>
        <v/>
      </c>
      <c r="J15" s="4" t="str">
        <f aca="false">IF(AND(WBS!$I15&lt;&gt;"",WBS!$I15&lt;=J$3+6,WBS!$J15&gt;=J$3),"A",IF(AND(WBS!$F15&lt;=J$3+6,WBS!$G15&gt;=J$3),"X",""))</f>
        <v/>
      </c>
      <c r="K15" s="4" t="str">
        <f aca="false">IF(AND(WBS!$I15&lt;&gt;"",WBS!$I15&lt;=K$3+6,WBS!$J15&gt;=K$3),"A",IF(AND(WBS!$F15&lt;=K$3+6,WBS!$G15&gt;=K$3),"X",""))</f>
        <v>A</v>
      </c>
      <c r="L15" s="4" t="str">
        <f aca="false">IF(AND(WBS!$I15&lt;&gt;"",WBS!$I15&lt;=L$3+6,WBS!$J15&gt;=L$3),"A",IF(AND(WBS!$F15&lt;=L$3+6,WBS!$G15&gt;=L$3),"X",""))</f>
        <v/>
      </c>
      <c r="M15" s="4" t="str">
        <f aca="false">IF(AND(WBS!$I15&lt;&gt;"",WBS!$I15&lt;=M$3+6,WBS!$J15&gt;=M$3),"A",IF(AND(WBS!$F15&lt;=M$3+6,WBS!$G15&gt;=M$3),"X",""))</f>
        <v/>
      </c>
      <c r="N15" s="4" t="str">
        <f aca="false">IF(AND(WBS!$I15&lt;&gt;"",WBS!$I15&lt;=N$3+6,WBS!$J15&gt;=N$3),"A",IF(AND(WBS!$F15&lt;=N$3+6,WBS!$G15&gt;=N$3),"X",""))</f>
        <v/>
      </c>
      <c r="O15" s="4" t="str">
        <f aca="false">IF(AND(WBS!$I15&lt;&gt;"",WBS!$I15&lt;=O$3+6,WBS!$J15&gt;=O$3),"A",IF(AND(WBS!$F15&lt;=O$3+6,WBS!$G15&gt;=O$3),"X",""))</f>
        <v/>
      </c>
      <c r="P15" s="4" t="str">
        <f aca="false">IF(AND(WBS!$I15&lt;&gt;"",WBS!$I15&lt;=P$3+6,WBS!$J15&gt;=P$3),"A",IF(AND(WBS!$F15&lt;=P$3+6,WBS!$G15&gt;=P$3),"X",""))</f>
        <v/>
      </c>
      <c r="Q15" s="4" t="str">
        <f aca="false">IF(AND(WBS!$I15&lt;&gt;"",WBS!$I15&lt;=Q$3+6,WBS!$J15&gt;=Q$3),"A",IF(AND(WBS!$F15&lt;=Q$3+6,WBS!$G15&gt;=Q$3),"X",""))</f>
        <v/>
      </c>
    </row>
    <row r="16" customFormat="false" ht="15" hidden="false" customHeight="false" outlineLevel="0" collapsed="false">
      <c r="A16" s="4" t="str">
        <f aca="false">WBS!A16</f>
        <v>2.8</v>
      </c>
      <c r="B16" s="5" t="str">
        <f aca="false">WBS!C16</f>
        <v>Perbaikan sumber: poll ci-cd.yml dibuat fail-safe</v>
      </c>
      <c r="C16" s="4" t="str">
        <f aca="false">WBS!E16</f>
        <v>Selesai</v>
      </c>
      <c r="D16" s="4" t="str">
        <f aca="false">IF(AND(WBS!$I16&lt;&gt;"",WBS!$I16&lt;=D$3+6,WBS!$J16&gt;=D$3),"A",IF(AND(WBS!$F16&lt;=D$3+6,WBS!$G16&gt;=D$3),"X",""))</f>
        <v/>
      </c>
      <c r="E16" s="4" t="str">
        <f aca="false">IF(AND(WBS!$I16&lt;&gt;"",WBS!$I16&lt;=E$3+6,WBS!$J16&gt;=E$3),"A",IF(AND(WBS!$F16&lt;=E$3+6,WBS!$G16&gt;=E$3),"X",""))</f>
        <v/>
      </c>
      <c r="F16" s="4" t="str">
        <f aca="false">IF(AND(WBS!$I16&lt;&gt;"",WBS!$I16&lt;=F$3+6,WBS!$J16&gt;=F$3),"A",IF(AND(WBS!$F16&lt;=F$3+6,WBS!$G16&gt;=F$3),"X",""))</f>
        <v/>
      </c>
      <c r="G16" s="4" t="str">
        <f aca="false">IF(AND(WBS!$I16&lt;&gt;"",WBS!$I16&lt;=G$3+6,WBS!$J16&gt;=G$3),"A",IF(AND(WBS!$F16&lt;=G$3+6,WBS!$G16&gt;=G$3),"X",""))</f>
        <v/>
      </c>
      <c r="H16" s="4" t="str">
        <f aca="false">IF(AND(WBS!$I16&lt;&gt;"",WBS!$I16&lt;=H$3+6,WBS!$J16&gt;=H$3),"A",IF(AND(WBS!$F16&lt;=H$3+6,WBS!$G16&gt;=H$3),"X",""))</f>
        <v>X</v>
      </c>
      <c r="I16" s="4" t="str">
        <f aca="false">IF(AND(WBS!$I16&lt;&gt;"",WBS!$I16&lt;=I$3+6,WBS!$J16&gt;=I$3),"A",IF(AND(WBS!$F16&lt;=I$3+6,WBS!$G16&gt;=I$3),"X",""))</f>
        <v/>
      </c>
      <c r="J16" s="4" t="str">
        <f aca="false">IF(AND(WBS!$I16&lt;&gt;"",WBS!$I16&lt;=J$3+6,WBS!$J16&gt;=J$3),"A",IF(AND(WBS!$F16&lt;=J$3+6,WBS!$G16&gt;=J$3),"X",""))</f>
        <v/>
      </c>
      <c r="K16" s="4" t="str">
        <f aca="false">IF(AND(WBS!$I16&lt;&gt;"",WBS!$I16&lt;=K$3+6,WBS!$J16&gt;=K$3),"A",IF(AND(WBS!$F16&lt;=K$3+6,WBS!$G16&gt;=K$3),"X",""))</f>
        <v>A</v>
      </c>
      <c r="L16" s="4" t="str">
        <f aca="false">IF(AND(WBS!$I16&lt;&gt;"",WBS!$I16&lt;=L$3+6,WBS!$J16&gt;=L$3),"A",IF(AND(WBS!$F16&lt;=L$3+6,WBS!$G16&gt;=L$3),"X",""))</f>
        <v/>
      </c>
      <c r="M16" s="4" t="str">
        <f aca="false">IF(AND(WBS!$I16&lt;&gt;"",WBS!$I16&lt;=M$3+6,WBS!$J16&gt;=M$3),"A",IF(AND(WBS!$F16&lt;=M$3+6,WBS!$G16&gt;=M$3),"X",""))</f>
        <v/>
      </c>
      <c r="N16" s="4" t="str">
        <f aca="false">IF(AND(WBS!$I16&lt;&gt;"",WBS!$I16&lt;=N$3+6,WBS!$J16&gt;=N$3),"A",IF(AND(WBS!$F16&lt;=N$3+6,WBS!$G16&gt;=N$3),"X",""))</f>
        <v/>
      </c>
      <c r="O16" s="4" t="str">
        <f aca="false">IF(AND(WBS!$I16&lt;&gt;"",WBS!$I16&lt;=O$3+6,WBS!$J16&gt;=O$3),"A",IF(AND(WBS!$F16&lt;=O$3+6,WBS!$G16&gt;=O$3),"X",""))</f>
        <v/>
      </c>
      <c r="P16" s="4" t="str">
        <f aca="false">IF(AND(WBS!$I16&lt;&gt;"",WBS!$I16&lt;=P$3+6,WBS!$J16&gt;=P$3),"A",IF(AND(WBS!$F16&lt;=P$3+6,WBS!$G16&gt;=P$3),"X",""))</f>
        <v/>
      </c>
      <c r="Q16" s="4" t="str">
        <f aca="false">IF(AND(WBS!$I16&lt;&gt;"",WBS!$I16&lt;=Q$3+6,WBS!$J16&gt;=Q$3),"A",IF(AND(WBS!$F16&lt;=Q$3+6,WBS!$G16&gt;=Q$3),"X",""))</f>
        <v/>
      </c>
    </row>
    <row r="17" customFormat="false" ht="15" hidden="false" customHeight="false" outlineLevel="0" collapsed="false">
      <c r="A17" s="4" t="str">
        <f aca="false">WBS!A17</f>
        <v>2.9</v>
      </c>
      <c r="B17" s="5" t="str">
        <f aca="false">WBS!C17</f>
        <v>Trigger workflow_run dibiarkan dorman</v>
      </c>
      <c r="C17" s="4" t="str">
        <f aca="false">WBS!E17</f>
        <v>Selesai</v>
      </c>
      <c r="D17" s="4" t="str">
        <f aca="false">IF(AND(WBS!$I17&lt;&gt;"",WBS!$I17&lt;=D$3+6,WBS!$J17&gt;=D$3),"A",IF(AND(WBS!$F17&lt;=D$3+6,WBS!$G17&gt;=D$3),"X",""))</f>
        <v/>
      </c>
      <c r="E17" s="4" t="str">
        <f aca="false">IF(AND(WBS!$I17&lt;&gt;"",WBS!$I17&lt;=E$3+6,WBS!$J17&gt;=E$3),"A",IF(AND(WBS!$F17&lt;=E$3+6,WBS!$G17&gt;=E$3),"X",""))</f>
        <v/>
      </c>
      <c r="F17" s="4" t="str">
        <f aca="false">IF(AND(WBS!$I17&lt;&gt;"",WBS!$I17&lt;=F$3+6,WBS!$J17&gt;=F$3),"A",IF(AND(WBS!$F17&lt;=F$3+6,WBS!$G17&gt;=F$3),"X",""))</f>
        <v/>
      </c>
      <c r="G17" s="4" t="str">
        <f aca="false">IF(AND(WBS!$I17&lt;&gt;"",WBS!$I17&lt;=G$3+6,WBS!$J17&gt;=G$3),"A",IF(AND(WBS!$F17&lt;=G$3+6,WBS!$G17&gt;=G$3),"X",""))</f>
        <v/>
      </c>
      <c r="H17" s="4" t="str">
        <f aca="false">IF(AND(WBS!$I17&lt;&gt;"",WBS!$I17&lt;=H$3+6,WBS!$J17&gt;=H$3),"A",IF(AND(WBS!$F17&lt;=H$3+6,WBS!$G17&gt;=H$3),"X",""))</f>
        <v>X</v>
      </c>
      <c r="I17" s="4" t="str">
        <f aca="false">IF(AND(WBS!$I17&lt;&gt;"",WBS!$I17&lt;=I$3+6,WBS!$J17&gt;=I$3),"A",IF(AND(WBS!$F17&lt;=I$3+6,WBS!$G17&gt;=I$3),"X",""))</f>
        <v/>
      </c>
      <c r="J17" s="4" t="str">
        <f aca="false">IF(AND(WBS!$I17&lt;&gt;"",WBS!$I17&lt;=J$3+6,WBS!$J17&gt;=J$3),"A",IF(AND(WBS!$F17&lt;=J$3+6,WBS!$G17&gt;=J$3),"X",""))</f>
        <v/>
      </c>
      <c r="K17" s="4" t="str">
        <f aca="false">IF(AND(WBS!$I17&lt;&gt;"",WBS!$I17&lt;=K$3+6,WBS!$J17&gt;=K$3),"A",IF(AND(WBS!$F17&lt;=K$3+6,WBS!$G17&gt;=K$3),"X",""))</f>
        <v>A</v>
      </c>
      <c r="L17" s="4" t="str">
        <f aca="false">IF(AND(WBS!$I17&lt;&gt;"",WBS!$I17&lt;=L$3+6,WBS!$J17&gt;=L$3),"A",IF(AND(WBS!$F17&lt;=L$3+6,WBS!$G17&gt;=L$3),"X",""))</f>
        <v/>
      </c>
      <c r="M17" s="4" t="str">
        <f aca="false">IF(AND(WBS!$I17&lt;&gt;"",WBS!$I17&lt;=M$3+6,WBS!$J17&gt;=M$3),"A",IF(AND(WBS!$F17&lt;=M$3+6,WBS!$G17&gt;=M$3),"X",""))</f>
        <v/>
      </c>
      <c r="N17" s="4" t="str">
        <f aca="false">IF(AND(WBS!$I17&lt;&gt;"",WBS!$I17&lt;=N$3+6,WBS!$J17&gt;=N$3),"A",IF(AND(WBS!$F17&lt;=N$3+6,WBS!$G17&gt;=N$3),"X",""))</f>
        <v/>
      </c>
      <c r="O17" s="4" t="str">
        <f aca="false">IF(AND(WBS!$I17&lt;&gt;"",WBS!$I17&lt;=O$3+6,WBS!$J17&gt;=O$3),"A",IF(AND(WBS!$F17&lt;=O$3+6,WBS!$G17&gt;=O$3),"X",""))</f>
        <v/>
      </c>
      <c r="P17" s="4" t="str">
        <f aca="false">IF(AND(WBS!$I17&lt;&gt;"",WBS!$I17&lt;=P$3+6,WBS!$J17&gt;=P$3),"A",IF(AND(WBS!$F17&lt;=P$3+6,WBS!$G17&gt;=P$3),"X",""))</f>
        <v/>
      </c>
      <c r="Q17" s="4" t="str">
        <f aca="false">IF(AND(WBS!$I17&lt;&gt;"",WBS!$I17&lt;=Q$3+6,WBS!$J17&gt;=Q$3),"A",IF(AND(WBS!$F17&lt;=Q$3+6,WBS!$G17&gt;=Q$3),"X",""))</f>
        <v/>
      </c>
    </row>
    <row r="18" customFormat="false" ht="15" hidden="false" customHeight="false" outlineLevel="0" collapsed="false">
      <c r="A18" s="4" t="str">
        <f aca="false">WBS!A18</f>
        <v>2.4</v>
      </c>
      <c r="B18" s="5" t="str">
        <f aca="false">WBS!C18</f>
        <v>ocr-review.yml - 437 baris</v>
      </c>
      <c r="C18" s="4" t="str">
        <f aca="false">WBS!E18</f>
        <v>Selesai</v>
      </c>
      <c r="D18" s="4" t="str">
        <f aca="false">IF(AND(WBS!$I18&lt;&gt;"",WBS!$I18&lt;=D$3+6,WBS!$J18&gt;=D$3),"A",IF(AND(WBS!$F18&lt;=D$3+6,WBS!$G18&gt;=D$3),"X",""))</f>
        <v/>
      </c>
      <c r="E18" s="4" t="str">
        <f aca="false">IF(AND(WBS!$I18&lt;&gt;"",WBS!$I18&lt;=E$3+6,WBS!$J18&gt;=E$3),"A",IF(AND(WBS!$F18&lt;=E$3+6,WBS!$G18&gt;=E$3),"X",""))</f>
        <v/>
      </c>
      <c r="F18" s="4" t="str">
        <f aca="false">IF(AND(WBS!$I18&lt;&gt;"",WBS!$I18&lt;=F$3+6,WBS!$J18&gt;=F$3),"A",IF(AND(WBS!$F18&lt;=F$3+6,WBS!$G18&gt;=F$3),"X",""))</f>
        <v/>
      </c>
      <c r="G18" s="4" t="str">
        <f aca="false">IF(AND(WBS!$I18&lt;&gt;"",WBS!$I18&lt;=G$3+6,WBS!$J18&gt;=G$3),"A",IF(AND(WBS!$F18&lt;=G$3+6,WBS!$G18&gt;=G$3),"X",""))</f>
        <v/>
      </c>
      <c r="H18" s="4" t="str">
        <f aca="false">IF(AND(WBS!$I18&lt;&gt;"",WBS!$I18&lt;=H$3+6,WBS!$J18&gt;=H$3),"A",IF(AND(WBS!$F18&lt;=H$3+6,WBS!$G18&gt;=H$3),"X",""))</f>
        <v>X</v>
      </c>
      <c r="I18" s="4" t="str">
        <f aca="false">IF(AND(WBS!$I18&lt;&gt;"",WBS!$I18&lt;=I$3+6,WBS!$J18&gt;=I$3),"A",IF(AND(WBS!$F18&lt;=I$3+6,WBS!$G18&gt;=I$3),"X",""))</f>
        <v/>
      </c>
      <c r="J18" s="4" t="str">
        <f aca="false">IF(AND(WBS!$I18&lt;&gt;"",WBS!$I18&lt;=J$3+6,WBS!$J18&gt;=J$3),"A",IF(AND(WBS!$F18&lt;=J$3+6,WBS!$G18&gt;=J$3),"X",""))</f>
        <v/>
      </c>
      <c r="K18" s="4" t="str">
        <f aca="false">IF(AND(WBS!$I18&lt;&gt;"",WBS!$I18&lt;=K$3+6,WBS!$J18&gt;=K$3),"A",IF(AND(WBS!$F18&lt;=K$3+6,WBS!$G18&gt;=K$3),"X",""))</f>
        <v>A</v>
      </c>
      <c r="L18" s="4" t="str">
        <f aca="false">IF(AND(WBS!$I18&lt;&gt;"",WBS!$I18&lt;=L$3+6,WBS!$J18&gt;=L$3),"A",IF(AND(WBS!$F18&lt;=L$3+6,WBS!$G18&gt;=L$3),"X",""))</f>
        <v/>
      </c>
      <c r="M18" s="4" t="str">
        <f aca="false">IF(AND(WBS!$I18&lt;&gt;"",WBS!$I18&lt;=M$3+6,WBS!$J18&gt;=M$3),"A",IF(AND(WBS!$F18&lt;=M$3+6,WBS!$G18&gt;=M$3),"X",""))</f>
        <v/>
      </c>
      <c r="N18" s="4" t="str">
        <f aca="false">IF(AND(WBS!$I18&lt;&gt;"",WBS!$I18&lt;=N$3+6,WBS!$J18&gt;=N$3),"A",IF(AND(WBS!$F18&lt;=N$3+6,WBS!$G18&gt;=N$3),"X",""))</f>
        <v/>
      </c>
      <c r="O18" s="4" t="str">
        <f aca="false">IF(AND(WBS!$I18&lt;&gt;"",WBS!$I18&lt;=O$3+6,WBS!$J18&gt;=O$3),"A",IF(AND(WBS!$F18&lt;=O$3+6,WBS!$G18&gt;=O$3),"X",""))</f>
        <v/>
      </c>
      <c r="P18" s="4" t="str">
        <f aca="false">IF(AND(WBS!$I18&lt;&gt;"",WBS!$I18&lt;=P$3+6,WBS!$J18&gt;=P$3),"A",IF(AND(WBS!$F18&lt;=P$3+6,WBS!$G18&gt;=P$3),"X",""))</f>
        <v/>
      </c>
      <c r="Q18" s="4" t="str">
        <f aca="false">IF(AND(WBS!$I18&lt;&gt;"",WBS!$I18&lt;=Q$3+6,WBS!$J18&gt;=Q$3),"A",IF(AND(WBS!$F18&lt;=Q$3+6,WBS!$G18&gt;=Q$3),"X",""))</f>
        <v/>
      </c>
    </row>
    <row r="19" customFormat="false" ht="15" hidden="false" customHeight="false" outlineLevel="0" collapsed="false">
      <c r="A19" s="4" t="str">
        <f aca="false">WBS!A19</f>
        <v>2.5</v>
      </c>
      <c r="B19" s="5" t="str">
        <f aca="false">WBS!C19</f>
        <v>ocr-rebuttal.yml - 179 baris</v>
      </c>
      <c r="C19" s="4" t="str">
        <f aca="false">WBS!E19</f>
        <v>Selesai</v>
      </c>
      <c r="D19" s="4" t="str">
        <f aca="false">IF(AND(WBS!$I19&lt;&gt;"",WBS!$I19&lt;=D$3+6,WBS!$J19&gt;=D$3),"A",IF(AND(WBS!$F19&lt;=D$3+6,WBS!$G19&gt;=D$3),"X",""))</f>
        <v/>
      </c>
      <c r="E19" s="4" t="str">
        <f aca="false">IF(AND(WBS!$I19&lt;&gt;"",WBS!$I19&lt;=E$3+6,WBS!$J19&gt;=E$3),"A",IF(AND(WBS!$F19&lt;=E$3+6,WBS!$G19&gt;=E$3),"X",""))</f>
        <v/>
      </c>
      <c r="F19" s="4" t="str">
        <f aca="false">IF(AND(WBS!$I19&lt;&gt;"",WBS!$I19&lt;=F$3+6,WBS!$J19&gt;=F$3),"A",IF(AND(WBS!$F19&lt;=F$3+6,WBS!$G19&gt;=F$3),"X",""))</f>
        <v/>
      </c>
      <c r="G19" s="4" t="str">
        <f aca="false">IF(AND(WBS!$I19&lt;&gt;"",WBS!$I19&lt;=G$3+6,WBS!$J19&gt;=G$3),"A",IF(AND(WBS!$F19&lt;=G$3+6,WBS!$G19&gt;=G$3),"X",""))</f>
        <v/>
      </c>
      <c r="H19" s="4" t="str">
        <f aca="false">IF(AND(WBS!$I19&lt;&gt;"",WBS!$I19&lt;=H$3+6,WBS!$J19&gt;=H$3),"A",IF(AND(WBS!$F19&lt;=H$3+6,WBS!$G19&gt;=H$3),"X",""))</f>
        <v>X</v>
      </c>
      <c r="I19" s="4" t="str">
        <f aca="false">IF(AND(WBS!$I19&lt;&gt;"",WBS!$I19&lt;=I$3+6,WBS!$J19&gt;=I$3),"A",IF(AND(WBS!$F19&lt;=I$3+6,WBS!$G19&gt;=I$3),"X",""))</f>
        <v/>
      </c>
      <c r="J19" s="4" t="str">
        <f aca="false">IF(AND(WBS!$I19&lt;&gt;"",WBS!$I19&lt;=J$3+6,WBS!$J19&gt;=J$3),"A",IF(AND(WBS!$F19&lt;=J$3+6,WBS!$G19&gt;=J$3),"X",""))</f>
        <v/>
      </c>
      <c r="K19" s="4" t="str">
        <f aca="false">IF(AND(WBS!$I19&lt;&gt;"",WBS!$I19&lt;=K$3+6,WBS!$J19&gt;=K$3),"A",IF(AND(WBS!$F19&lt;=K$3+6,WBS!$G19&gt;=K$3),"X",""))</f>
        <v>A</v>
      </c>
      <c r="L19" s="4" t="str">
        <f aca="false">IF(AND(WBS!$I19&lt;&gt;"",WBS!$I19&lt;=L$3+6,WBS!$J19&gt;=L$3),"A",IF(AND(WBS!$F19&lt;=L$3+6,WBS!$G19&gt;=L$3),"X",""))</f>
        <v/>
      </c>
      <c r="M19" s="4" t="str">
        <f aca="false">IF(AND(WBS!$I19&lt;&gt;"",WBS!$I19&lt;=M$3+6,WBS!$J19&gt;=M$3),"A",IF(AND(WBS!$F19&lt;=M$3+6,WBS!$G19&gt;=M$3),"X",""))</f>
        <v/>
      </c>
      <c r="N19" s="4" t="str">
        <f aca="false">IF(AND(WBS!$I19&lt;&gt;"",WBS!$I19&lt;=N$3+6,WBS!$J19&gt;=N$3),"A",IF(AND(WBS!$F19&lt;=N$3+6,WBS!$G19&gt;=N$3),"X",""))</f>
        <v/>
      </c>
      <c r="O19" s="4" t="str">
        <f aca="false">IF(AND(WBS!$I19&lt;&gt;"",WBS!$I19&lt;=O$3+6,WBS!$J19&gt;=O$3),"A",IF(AND(WBS!$F19&lt;=O$3+6,WBS!$G19&gt;=O$3),"X",""))</f>
        <v/>
      </c>
      <c r="P19" s="4" t="str">
        <f aca="false">IF(AND(WBS!$I19&lt;&gt;"",WBS!$I19&lt;=P$3+6,WBS!$J19&gt;=P$3),"A",IF(AND(WBS!$F19&lt;=P$3+6,WBS!$G19&gt;=P$3),"X",""))</f>
        <v/>
      </c>
      <c r="Q19" s="4" t="str">
        <f aca="false">IF(AND(WBS!$I19&lt;&gt;"",WBS!$I19&lt;=Q$3+6,WBS!$J19&gt;=Q$3),"A",IF(AND(WBS!$F19&lt;=Q$3+6,WBS!$G19&gt;=Q$3),"X",""))</f>
        <v/>
      </c>
    </row>
    <row r="20" customFormat="false" ht="15" hidden="false" customHeight="false" outlineLevel="0" collapsed="false">
      <c r="A20" s="4" t="str">
        <f aca="false">WBS!A20</f>
        <v>2.6</v>
      </c>
      <c r="B20" s="5" t="str">
        <f aca="false">WBS!C20</f>
        <v>Template issue HDL - 120 baris</v>
      </c>
      <c r="C20" s="4" t="str">
        <f aca="false">WBS!E20</f>
        <v>Selesai</v>
      </c>
      <c r="D20" s="4" t="str">
        <f aca="false">IF(AND(WBS!$I20&lt;&gt;"",WBS!$I20&lt;=D$3+6,WBS!$J20&gt;=D$3),"A",IF(AND(WBS!$F20&lt;=D$3+6,WBS!$G20&gt;=D$3),"X",""))</f>
        <v/>
      </c>
      <c r="E20" s="4" t="str">
        <f aca="false">IF(AND(WBS!$I20&lt;&gt;"",WBS!$I20&lt;=E$3+6,WBS!$J20&gt;=E$3),"A",IF(AND(WBS!$F20&lt;=E$3+6,WBS!$G20&gt;=E$3),"X",""))</f>
        <v/>
      </c>
      <c r="F20" s="4" t="str">
        <f aca="false">IF(AND(WBS!$I20&lt;&gt;"",WBS!$I20&lt;=F$3+6,WBS!$J20&gt;=F$3),"A",IF(AND(WBS!$F20&lt;=F$3+6,WBS!$G20&gt;=F$3),"X",""))</f>
        <v/>
      </c>
      <c r="G20" s="4" t="str">
        <f aca="false">IF(AND(WBS!$I20&lt;&gt;"",WBS!$I20&lt;=G$3+6,WBS!$J20&gt;=G$3),"A",IF(AND(WBS!$F20&lt;=G$3+6,WBS!$G20&gt;=G$3),"X",""))</f>
        <v/>
      </c>
      <c r="H20" s="4" t="str">
        <f aca="false">IF(AND(WBS!$I20&lt;&gt;"",WBS!$I20&lt;=H$3+6,WBS!$J20&gt;=H$3),"A",IF(AND(WBS!$F20&lt;=H$3+6,WBS!$G20&gt;=H$3),"X",""))</f>
        <v>X</v>
      </c>
      <c r="I20" s="4" t="str">
        <f aca="false">IF(AND(WBS!$I20&lt;&gt;"",WBS!$I20&lt;=I$3+6,WBS!$J20&gt;=I$3),"A",IF(AND(WBS!$F20&lt;=I$3+6,WBS!$G20&gt;=I$3),"X",""))</f>
        <v/>
      </c>
      <c r="J20" s="4" t="str">
        <f aca="false">IF(AND(WBS!$I20&lt;&gt;"",WBS!$I20&lt;=J$3+6,WBS!$J20&gt;=J$3),"A",IF(AND(WBS!$F20&lt;=J$3+6,WBS!$G20&gt;=J$3),"X",""))</f>
        <v/>
      </c>
      <c r="K20" s="4" t="str">
        <f aca="false">IF(AND(WBS!$I20&lt;&gt;"",WBS!$I20&lt;=K$3+6,WBS!$J20&gt;=K$3),"A",IF(AND(WBS!$F20&lt;=K$3+6,WBS!$G20&gt;=K$3),"X",""))</f>
        <v>A</v>
      </c>
      <c r="L20" s="4" t="str">
        <f aca="false">IF(AND(WBS!$I20&lt;&gt;"",WBS!$I20&lt;=L$3+6,WBS!$J20&gt;=L$3),"A",IF(AND(WBS!$F20&lt;=L$3+6,WBS!$G20&gt;=L$3),"X",""))</f>
        <v/>
      </c>
      <c r="M20" s="4" t="str">
        <f aca="false">IF(AND(WBS!$I20&lt;&gt;"",WBS!$I20&lt;=M$3+6,WBS!$J20&gt;=M$3),"A",IF(AND(WBS!$F20&lt;=M$3+6,WBS!$G20&gt;=M$3),"X",""))</f>
        <v/>
      </c>
      <c r="N20" s="4" t="str">
        <f aca="false">IF(AND(WBS!$I20&lt;&gt;"",WBS!$I20&lt;=N$3+6,WBS!$J20&gt;=N$3),"A",IF(AND(WBS!$F20&lt;=N$3+6,WBS!$G20&gt;=N$3),"X",""))</f>
        <v/>
      </c>
      <c r="O20" s="4" t="str">
        <f aca="false">IF(AND(WBS!$I20&lt;&gt;"",WBS!$I20&lt;=O$3+6,WBS!$J20&gt;=O$3),"A",IF(AND(WBS!$F20&lt;=O$3+6,WBS!$G20&gt;=O$3),"X",""))</f>
        <v/>
      </c>
      <c r="P20" s="4" t="str">
        <f aca="false">IF(AND(WBS!$I20&lt;&gt;"",WBS!$I20&lt;=P$3+6,WBS!$J20&gt;=P$3),"A",IF(AND(WBS!$F20&lt;=P$3+6,WBS!$G20&gt;=P$3),"X",""))</f>
        <v/>
      </c>
      <c r="Q20" s="4" t="str">
        <f aca="false">IF(AND(WBS!$I20&lt;&gt;"",WBS!$I20&lt;=Q$3+6,WBS!$J20&gt;=Q$3),"A",IF(AND(WBS!$F20&lt;=Q$3+6,WBS!$G20&gt;=Q$3),"X",""))</f>
        <v/>
      </c>
    </row>
    <row r="21" customFormat="false" ht="15" hidden="false" customHeight="false" outlineLevel="0" collapsed="false">
      <c r="A21" s="4" t="str">
        <f aca="false">WBS!A21</f>
        <v>2.7</v>
      </c>
      <c r="B21" s="5" t="str">
        <f aca="false">WBS!C21</f>
        <v>Dokumentasi docs/AGENTIC-WORKFLOW.md - 191 baris</v>
      </c>
      <c r="C21" s="4" t="str">
        <f aca="false">WBS!E21</f>
        <v>Selesai</v>
      </c>
      <c r="D21" s="4" t="str">
        <f aca="false">IF(AND(WBS!$I21&lt;&gt;"",WBS!$I21&lt;=D$3+6,WBS!$J21&gt;=D$3),"A",IF(AND(WBS!$F21&lt;=D$3+6,WBS!$G21&gt;=D$3),"X",""))</f>
        <v/>
      </c>
      <c r="E21" s="4" t="str">
        <f aca="false">IF(AND(WBS!$I21&lt;&gt;"",WBS!$I21&lt;=E$3+6,WBS!$J21&gt;=E$3),"A",IF(AND(WBS!$F21&lt;=E$3+6,WBS!$G21&gt;=E$3),"X",""))</f>
        <v/>
      </c>
      <c r="F21" s="4" t="str">
        <f aca="false">IF(AND(WBS!$I21&lt;&gt;"",WBS!$I21&lt;=F$3+6,WBS!$J21&gt;=F$3),"A",IF(AND(WBS!$F21&lt;=F$3+6,WBS!$G21&gt;=F$3),"X",""))</f>
        <v/>
      </c>
      <c r="G21" s="4" t="str">
        <f aca="false">IF(AND(WBS!$I21&lt;&gt;"",WBS!$I21&lt;=G$3+6,WBS!$J21&gt;=G$3),"A",IF(AND(WBS!$F21&lt;=G$3+6,WBS!$G21&gt;=G$3),"X",""))</f>
        <v/>
      </c>
      <c r="H21" s="4" t="str">
        <f aca="false">IF(AND(WBS!$I21&lt;&gt;"",WBS!$I21&lt;=H$3+6,WBS!$J21&gt;=H$3),"A",IF(AND(WBS!$F21&lt;=H$3+6,WBS!$G21&gt;=H$3),"X",""))</f>
        <v/>
      </c>
      <c r="I21" s="4" t="str">
        <f aca="false">IF(AND(WBS!$I21&lt;&gt;"",WBS!$I21&lt;=I$3+6,WBS!$J21&gt;=I$3),"A",IF(AND(WBS!$F21&lt;=I$3+6,WBS!$G21&gt;=I$3),"X",""))</f>
        <v>X</v>
      </c>
      <c r="J21" s="4" t="str">
        <f aca="false">IF(AND(WBS!$I21&lt;&gt;"",WBS!$I21&lt;=J$3+6,WBS!$J21&gt;=J$3),"A",IF(AND(WBS!$F21&lt;=J$3+6,WBS!$G21&gt;=J$3),"X",""))</f>
        <v/>
      </c>
      <c r="K21" s="4" t="str">
        <f aca="false">IF(AND(WBS!$I21&lt;&gt;"",WBS!$I21&lt;=K$3+6,WBS!$J21&gt;=K$3),"A",IF(AND(WBS!$F21&lt;=K$3+6,WBS!$G21&gt;=K$3),"X",""))</f>
        <v>A</v>
      </c>
      <c r="L21" s="4" t="str">
        <f aca="false">IF(AND(WBS!$I21&lt;&gt;"",WBS!$I21&lt;=L$3+6,WBS!$J21&gt;=L$3),"A",IF(AND(WBS!$F21&lt;=L$3+6,WBS!$G21&gt;=L$3),"X",""))</f>
        <v/>
      </c>
      <c r="M21" s="4" t="str">
        <f aca="false">IF(AND(WBS!$I21&lt;&gt;"",WBS!$I21&lt;=M$3+6,WBS!$J21&gt;=M$3),"A",IF(AND(WBS!$F21&lt;=M$3+6,WBS!$G21&gt;=M$3),"X",""))</f>
        <v/>
      </c>
      <c r="N21" s="4" t="str">
        <f aca="false">IF(AND(WBS!$I21&lt;&gt;"",WBS!$I21&lt;=N$3+6,WBS!$J21&gt;=N$3),"A",IF(AND(WBS!$F21&lt;=N$3+6,WBS!$G21&gt;=N$3),"X",""))</f>
        <v/>
      </c>
      <c r="O21" s="4" t="str">
        <f aca="false">IF(AND(WBS!$I21&lt;&gt;"",WBS!$I21&lt;=O$3+6,WBS!$J21&gt;=O$3),"A",IF(AND(WBS!$F21&lt;=O$3+6,WBS!$G21&gt;=O$3),"X",""))</f>
        <v/>
      </c>
      <c r="P21" s="4" t="str">
        <f aca="false">IF(AND(WBS!$I21&lt;&gt;"",WBS!$I21&lt;=P$3+6,WBS!$J21&gt;=P$3),"A",IF(AND(WBS!$F21&lt;=P$3+6,WBS!$G21&gt;=P$3),"X",""))</f>
        <v/>
      </c>
      <c r="Q21" s="4" t="str">
        <f aca="false">IF(AND(WBS!$I21&lt;&gt;"",WBS!$I21&lt;=Q$3+6,WBS!$J21&gt;=Q$3),"A",IF(AND(WBS!$F21&lt;=Q$3+6,WBS!$G21&gt;=Q$3),"X",""))</f>
        <v/>
      </c>
    </row>
    <row r="22" customFormat="false" ht="15" hidden="false" customHeight="false" outlineLevel="0" collapsed="false">
      <c r="A22" s="4" t="str">
        <f aca="false">WBS!A22</f>
        <v>3.1</v>
      </c>
      <c r="B22" s="5" t="str">
        <f aca="false">WBS!C22</f>
        <v>Parse YAML 6 berkas</v>
      </c>
      <c r="C22" s="4" t="str">
        <f aca="false">WBS!E22</f>
        <v>Selesai</v>
      </c>
      <c r="D22" s="4" t="str">
        <f aca="false">IF(AND(WBS!$I22&lt;&gt;"",WBS!$I22&lt;=D$3+6,WBS!$J22&gt;=D$3),"A",IF(AND(WBS!$F22&lt;=D$3+6,WBS!$G22&gt;=D$3),"X",""))</f>
        <v/>
      </c>
      <c r="E22" s="4" t="str">
        <f aca="false">IF(AND(WBS!$I22&lt;&gt;"",WBS!$I22&lt;=E$3+6,WBS!$J22&gt;=E$3),"A",IF(AND(WBS!$F22&lt;=E$3+6,WBS!$G22&gt;=E$3),"X",""))</f>
        <v/>
      </c>
      <c r="F22" s="4" t="str">
        <f aca="false">IF(AND(WBS!$I22&lt;&gt;"",WBS!$I22&lt;=F$3+6,WBS!$J22&gt;=F$3),"A",IF(AND(WBS!$F22&lt;=F$3+6,WBS!$G22&gt;=F$3),"X",""))</f>
        <v/>
      </c>
      <c r="G22" s="4" t="str">
        <f aca="false">IF(AND(WBS!$I22&lt;&gt;"",WBS!$I22&lt;=G$3+6,WBS!$J22&gt;=G$3),"A",IF(AND(WBS!$F22&lt;=G$3+6,WBS!$G22&gt;=G$3),"X",""))</f>
        <v/>
      </c>
      <c r="H22" s="4" t="str">
        <f aca="false">IF(AND(WBS!$I22&lt;&gt;"",WBS!$I22&lt;=H$3+6,WBS!$J22&gt;=H$3),"A",IF(AND(WBS!$F22&lt;=H$3+6,WBS!$G22&gt;=H$3),"X",""))</f>
        <v/>
      </c>
      <c r="I22" s="4" t="str">
        <f aca="false">IF(AND(WBS!$I22&lt;&gt;"",WBS!$I22&lt;=I$3+6,WBS!$J22&gt;=I$3),"A",IF(AND(WBS!$F22&lt;=I$3+6,WBS!$G22&gt;=I$3),"X",""))</f>
        <v/>
      </c>
      <c r="J22" s="4" t="str">
        <f aca="false">IF(AND(WBS!$I22&lt;&gt;"",WBS!$I22&lt;=J$3+6,WBS!$J22&gt;=J$3),"A",IF(AND(WBS!$F22&lt;=J$3+6,WBS!$G22&gt;=J$3),"X",""))</f>
        <v>X</v>
      </c>
      <c r="K22" s="4" t="str">
        <f aca="false">IF(AND(WBS!$I22&lt;&gt;"",WBS!$I22&lt;=K$3+6,WBS!$J22&gt;=K$3),"A",IF(AND(WBS!$F22&lt;=K$3+6,WBS!$G22&gt;=K$3),"X",""))</f>
        <v>A</v>
      </c>
      <c r="L22" s="4" t="str">
        <f aca="false">IF(AND(WBS!$I22&lt;&gt;"",WBS!$I22&lt;=L$3+6,WBS!$J22&gt;=L$3),"A",IF(AND(WBS!$F22&lt;=L$3+6,WBS!$G22&gt;=L$3),"X",""))</f>
        <v/>
      </c>
      <c r="M22" s="4" t="str">
        <f aca="false">IF(AND(WBS!$I22&lt;&gt;"",WBS!$I22&lt;=M$3+6,WBS!$J22&gt;=M$3),"A",IF(AND(WBS!$F22&lt;=M$3+6,WBS!$G22&gt;=M$3),"X",""))</f>
        <v/>
      </c>
      <c r="N22" s="4" t="str">
        <f aca="false">IF(AND(WBS!$I22&lt;&gt;"",WBS!$I22&lt;=N$3+6,WBS!$J22&gt;=N$3),"A",IF(AND(WBS!$F22&lt;=N$3+6,WBS!$G22&gt;=N$3),"X",""))</f>
        <v/>
      </c>
      <c r="O22" s="4" t="str">
        <f aca="false">IF(AND(WBS!$I22&lt;&gt;"",WBS!$I22&lt;=O$3+6,WBS!$J22&gt;=O$3),"A",IF(AND(WBS!$F22&lt;=O$3+6,WBS!$G22&gt;=O$3),"X",""))</f>
        <v/>
      </c>
      <c r="P22" s="4" t="str">
        <f aca="false">IF(AND(WBS!$I22&lt;&gt;"",WBS!$I22&lt;=P$3+6,WBS!$J22&gt;=P$3),"A",IF(AND(WBS!$F22&lt;=P$3+6,WBS!$G22&gt;=P$3),"X",""))</f>
        <v/>
      </c>
      <c r="Q22" s="4" t="str">
        <f aca="false">IF(AND(WBS!$I22&lt;&gt;"",WBS!$I22&lt;=Q$3+6,WBS!$J22&gt;=Q$3),"A",IF(AND(WBS!$F22&lt;=Q$3+6,WBS!$G22&gt;=Q$3),"X",""))</f>
        <v/>
      </c>
    </row>
    <row r="23" customFormat="false" ht="15" hidden="false" customHeight="false" outlineLevel="0" collapsed="false">
      <c r="A23" s="4" t="str">
        <f aca="false">WBS!A23</f>
        <v>3.2</v>
      </c>
      <c r="B23" s="5" t="str">
        <f aca="false">WBS!C23</f>
        <v>actionlint pada 5 workflow</v>
      </c>
      <c r="C23" s="4" t="str">
        <f aca="false">WBS!E23</f>
        <v>Selesai</v>
      </c>
      <c r="D23" s="4" t="str">
        <f aca="false">IF(AND(WBS!$I23&lt;&gt;"",WBS!$I23&lt;=D$3+6,WBS!$J23&gt;=D$3),"A",IF(AND(WBS!$F23&lt;=D$3+6,WBS!$G23&gt;=D$3),"X",""))</f>
        <v/>
      </c>
      <c r="E23" s="4" t="str">
        <f aca="false">IF(AND(WBS!$I23&lt;&gt;"",WBS!$I23&lt;=E$3+6,WBS!$J23&gt;=E$3),"A",IF(AND(WBS!$F23&lt;=E$3+6,WBS!$G23&gt;=E$3),"X",""))</f>
        <v/>
      </c>
      <c r="F23" s="4" t="str">
        <f aca="false">IF(AND(WBS!$I23&lt;&gt;"",WBS!$I23&lt;=F$3+6,WBS!$J23&gt;=F$3),"A",IF(AND(WBS!$F23&lt;=F$3+6,WBS!$G23&gt;=F$3),"X",""))</f>
        <v/>
      </c>
      <c r="G23" s="4" t="str">
        <f aca="false">IF(AND(WBS!$I23&lt;&gt;"",WBS!$I23&lt;=G$3+6,WBS!$J23&gt;=G$3),"A",IF(AND(WBS!$F23&lt;=G$3+6,WBS!$G23&gt;=G$3),"X",""))</f>
        <v/>
      </c>
      <c r="H23" s="4" t="str">
        <f aca="false">IF(AND(WBS!$I23&lt;&gt;"",WBS!$I23&lt;=H$3+6,WBS!$J23&gt;=H$3),"A",IF(AND(WBS!$F23&lt;=H$3+6,WBS!$G23&gt;=H$3),"X",""))</f>
        <v/>
      </c>
      <c r="I23" s="4" t="str">
        <f aca="false">IF(AND(WBS!$I23&lt;&gt;"",WBS!$I23&lt;=I$3+6,WBS!$J23&gt;=I$3),"A",IF(AND(WBS!$F23&lt;=I$3+6,WBS!$G23&gt;=I$3),"X",""))</f>
        <v/>
      </c>
      <c r="J23" s="4" t="str">
        <f aca="false">IF(AND(WBS!$I23&lt;&gt;"",WBS!$I23&lt;=J$3+6,WBS!$J23&gt;=J$3),"A",IF(AND(WBS!$F23&lt;=J$3+6,WBS!$G23&gt;=J$3),"X",""))</f>
        <v>X</v>
      </c>
      <c r="K23" s="4" t="str">
        <f aca="false">IF(AND(WBS!$I23&lt;&gt;"",WBS!$I23&lt;=K$3+6,WBS!$J23&gt;=K$3),"A",IF(AND(WBS!$F23&lt;=K$3+6,WBS!$G23&gt;=K$3),"X",""))</f>
        <v>A</v>
      </c>
      <c r="L23" s="4" t="str">
        <f aca="false">IF(AND(WBS!$I23&lt;&gt;"",WBS!$I23&lt;=L$3+6,WBS!$J23&gt;=L$3),"A",IF(AND(WBS!$F23&lt;=L$3+6,WBS!$G23&gt;=L$3),"X",""))</f>
        <v/>
      </c>
      <c r="M23" s="4" t="str">
        <f aca="false">IF(AND(WBS!$I23&lt;&gt;"",WBS!$I23&lt;=M$3+6,WBS!$J23&gt;=M$3),"A",IF(AND(WBS!$F23&lt;=M$3+6,WBS!$G23&gt;=M$3),"X",""))</f>
        <v/>
      </c>
      <c r="N23" s="4" t="str">
        <f aca="false">IF(AND(WBS!$I23&lt;&gt;"",WBS!$I23&lt;=N$3+6,WBS!$J23&gt;=N$3),"A",IF(AND(WBS!$F23&lt;=N$3+6,WBS!$G23&gt;=N$3),"X",""))</f>
        <v/>
      </c>
      <c r="O23" s="4" t="str">
        <f aca="false">IF(AND(WBS!$I23&lt;&gt;"",WBS!$I23&lt;=O$3+6,WBS!$J23&gt;=O$3),"A",IF(AND(WBS!$F23&lt;=O$3+6,WBS!$G23&gt;=O$3),"X",""))</f>
        <v/>
      </c>
      <c r="P23" s="4" t="str">
        <f aca="false">IF(AND(WBS!$I23&lt;&gt;"",WBS!$I23&lt;=P$3+6,WBS!$J23&gt;=P$3),"A",IF(AND(WBS!$F23&lt;=P$3+6,WBS!$G23&gt;=P$3),"X",""))</f>
        <v/>
      </c>
      <c r="Q23" s="4" t="str">
        <f aca="false">IF(AND(WBS!$I23&lt;&gt;"",WBS!$I23&lt;=Q$3+6,WBS!$J23&gt;=Q$3),"A",IF(AND(WBS!$F23&lt;=Q$3+6,WBS!$G23&gt;=Q$3),"X",""))</f>
        <v/>
      </c>
    </row>
    <row r="24" customFormat="false" ht="15" hidden="false" customHeight="false" outlineLevel="0" collapsed="false">
      <c r="A24" s="4" t="str">
        <f aca="false">WBS!A24</f>
        <v>3.3</v>
      </c>
      <c r="B24" s="5" t="str">
        <f aca="false">WBS!C24</f>
        <v>Cek sintaks shell 28 blok run</v>
      </c>
      <c r="C24" s="4" t="str">
        <f aca="false">WBS!E24</f>
        <v>Selesai</v>
      </c>
      <c r="D24" s="4" t="str">
        <f aca="false">IF(AND(WBS!$I24&lt;&gt;"",WBS!$I24&lt;=D$3+6,WBS!$J24&gt;=D$3),"A",IF(AND(WBS!$F24&lt;=D$3+6,WBS!$G24&gt;=D$3),"X",""))</f>
        <v/>
      </c>
      <c r="E24" s="4" t="str">
        <f aca="false">IF(AND(WBS!$I24&lt;&gt;"",WBS!$I24&lt;=E$3+6,WBS!$J24&gt;=E$3),"A",IF(AND(WBS!$F24&lt;=E$3+6,WBS!$G24&gt;=E$3),"X",""))</f>
        <v/>
      </c>
      <c r="F24" s="4" t="str">
        <f aca="false">IF(AND(WBS!$I24&lt;&gt;"",WBS!$I24&lt;=F$3+6,WBS!$J24&gt;=F$3),"A",IF(AND(WBS!$F24&lt;=F$3+6,WBS!$G24&gt;=F$3),"X",""))</f>
        <v/>
      </c>
      <c r="G24" s="4" t="str">
        <f aca="false">IF(AND(WBS!$I24&lt;&gt;"",WBS!$I24&lt;=G$3+6,WBS!$J24&gt;=G$3),"A",IF(AND(WBS!$F24&lt;=G$3+6,WBS!$G24&gt;=G$3),"X",""))</f>
        <v/>
      </c>
      <c r="H24" s="4" t="str">
        <f aca="false">IF(AND(WBS!$I24&lt;&gt;"",WBS!$I24&lt;=H$3+6,WBS!$J24&gt;=H$3),"A",IF(AND(WBS!$F24&lt;=H$3+6,WBS!$G24&gt;=H$3),"X",""))</f>
        <v/>
      </c>
      <c r="I24" s="4" t="str">
        <f aca="false">IF(AND(WBS!$I24&lt;&gt;"",WBS!$I24&lt;=I$3+6,WBS!$J24&gt;=I$3),"A",IF(AND(WBS!$F24&lt;=I$3+6,WBS!$G24&gt;=I$3),"X",""))</f>
        <v/>
      </c>
      <c r="J24" s="4" t="str">
        <f aca="false">IF(AND(WBS!$I24&lt;&gt;"",WBS!$I24&lt;=J$3+6,WBS!$J24&gt;=J$3),"A",IF(AND(WBS!$F24&lt;=J$3+6,WBS!$G24&gt;=J$3),"X",""))</f>
        <v>X</v>
      </c>
      <c r="K24" s="4" t="str">
        <f aca="false">IF(AND(WBS!$I24&lt;&gt;"",WBS!$I24&lt;=K$3+6,WBS!$J24&gt;=K$3),"A",IF(AND(WBS!$F24&lt;=K$3+6,WBS!$G24&gt;=K$3),"X",""))</f>
        <v>A</v>
      </c>
      <c r="L24" s="4" t="str">
        <f aca="false">IF(AND(WBS!$I24&lt;&gt;"",WBS!$I24&lt;=L$3+6,WBS!$J24&gt;=L$3),"A",IF(AND(WBS!$F24&lt;=L$3+6,WBS!$G24&gt;=L$3),"X",""))</f>
        <v/>
      </c>
      <c r="M24" s="4" t="str">
        <f aca="false">IF(AND(WBS!$I24&lt;&gt;"",WBS!$I24&lt;=M$3+6,WBS!$J24&gt;=M$3),"A",IF(AND(WBS!$F24&lt;=M$3+6,WBS!$G24&gt;=M$3),"X",""))</f>
        <v/>
      </c>
      <c r="N24" s="4" t="str">
        <f aca="false">IF(AND(WBS!$I24&lt;&gt;"",WBS!$I24&lt;=N$3+6,WBS!$J24&gt;=N$3),"A",IF(AND(WBS!$F24&lt;=N$3+6,WBS!$G24&gt;=N$3),"X",""))</f>
        <v/>
      </c>
      <c r="O24" s="4" t="str">
        <f aca="false">IF(AND(WBS!$I24&lt;&gt;"",WBS!$I24&lt;=O$3+6,WBS!$J24&gt;=O$3),"A",IF(AND(WBS!$F24&lt;=O$3+6,WBS!$G24&gt;=O$3),"X",""))</f>
        <v/>
      </c>
      <c r="P24" s="4" t="str">
        <f aca="false">IF(AND(WBS!$I24&lt;&gt;"",WBS!$I24&lt;=P$3+6,WBS!$J24&gt;=P$3),"A",IF(AND(WBS!$F24&lt;=P$3+6,WBS!$G24&gt;=P$3),"X",""))</f>
        <v/>
      </c>
      <c r="Q24" s="4" t="str">
        <f aca="false">IF(AND(WBS!$I24&lt;&gt;"",WBS!$I24&lt;=Q$3+6,WBS!$J24&gt;=Q$3),"A",IF(AND(WBS!$F24&lt;=Q$3+6,WBS!$G24&gt;=Q$3),"X",""))</f>
        <v/>
      </c>
    </row>
    <row r="25" customFormat="false" ht="15" hidden="false" customHeight="false" outlineLevel="0" collapsed="false">
      <c r="A25" s="4" t="str">
        <f aca="false">WBS!A25</f>
        <v>3.4</v>
      </c>
      <c r="B25" s="5" t="str">
        <f aca="false">WBS!C25</f>
        <v>Audit sisa referensi LPMS/.NET/AntDesign</v>
      </c>
      <c r="C25" s="4" t="str">
        <f aca="false">WBS!E25</f>
        <v>Selesai</v>
      </c>
      <c r="D25" s="4" t="str">
        <f aca="false">IF(AND(WBS!$I25&lt;&gt;"",WBS!$I25&lt;=D$3+6,WBS!$J25&gt;=D$3),"A",IF(AND(WBS!$F25&lt;=D$3+6,WBS!$G25&gt;=D$3),"X",""))</f>
        <v/>
      </c>
      <c r="E25" s="4" t="str">
        <f aca="false">IF(AND(WBS!$I25&lt;&gt;"",WBS!$I25&lt;=E$3+6,WBS!$J25&gt;=E$3),"A",IF(AND(WBS!$F25&lt;=E$3+6,WBS!$G25&gt;=E$3),"X",""))</f>
        <v/>
      </c>
      <c r="F25" s="4" t="str">
        <f aca="false">IF(AND(WBS!$I25&lt;&gt;"",WBS!$I25&lt;=F$3+6,WBS!$J25&gt;=F$3),"A",IF(AND(WBS!$F25&lt;=F$3+6,WBS!$G25&gt;=F$3),"X",""))</f>
        <v/>
      </c>
      <c r="G25" s="4" t="str">
        <f aca="false">IF(AND(WBS!$I25&lt;&gt;"",WBS!$I25&lt;=G$3+6,WBS!$J25&gt;=G$3),"A",IF(AND(WBS!$F25&lt;=G$3+6,WBS!$G25&gt;=G$3),"X",""))</f>
        <v/>
      </c>
      <c r="H25" s="4" t="str">
        <f aca="false">IF(AND(WBS!$I25&lt;&gt;"",WBS!$I25&lt;=H$3+6,WBS!$J25&gt;=H$3),"A",IF(AND(WBS!$F25&lt;=H$3+6,WBS!$G25&gt;=H$3),"X",""))</f>
        <v/>
      </c>
      <c r="I25" s="4" t="str">
        <f aca="false">IF(AND(WBS!$I25&lt;&gt;"",WBS!$I25&lt;=I$3+6,WBS!$J25&gt;=I$3),"A",IF(AND(WBS!$F25&lt;=I$3+6,WBS!$G25&gt;=I$3),"X",""))</f>
        <v/>
      </c>
      <c r="J25" s="4" t="str">
        <f aca="false">IF(AND(WBS!$I25&lt;&gt;"",WBS!$I25&lt;=J$3+6,WBS!$J25&gt;=J$3),"A",IF(AND(WBS!$F25&lt;=J$3+6,WBS!$G25&gt;=J$3),"X",""))</f>
        <v>X</v>
      </c>
      <c r="K25" s="4" t="str">
        <f aca="false">IF(AND(WBS!$I25&lt;&gt;"",WBS!$I25&lt;=K$3+6,WBS!$J25&gt;=K$3),"A",IF(AND(WBS!$F25&lt;=K$3+6,WBS!$G25&gt;=K$3),"X",""))</f>
        <v>A</v>
      </c>
      <c r="L25" s="4" t="str">
        <f aca="false">IF(AND(WBS!$I25&lt;&gt;"",WBS!$I25&lt;=L$3+6,WBS!$J25&gt;=L$3),"A",IF(AND(WBS!$F25&lt;=L$3+6,WBS!$G25&gt;=L$3),"X",""))</f>
        <v/>
      </c>
      <c r="M25" s="4" t="str">
        <f aca="false">IF(AND(WBS!$I25&lt;&gt;"",WBS!$I25&lt;=M$3+6,WBS!$J25&gt;=M$3),"A",IF(AND(WBS!$F25&lt;=M$3+6,WBS!$G25&gt;=M$3),"X",""))</f>
        <v/>
      </c>
      <c r="N25" s="4" t="str">
        <f aca="false">IF(AND(WBS!$I25&lt;&gt;"",WBS!$I25&lt;=N$3+6,WBS!$J25&gt;=N$3),"A",IF(AND(WBS!$F25&lt;=N$3+6,WBS!$G25&gt;=N$3),"X",""))</f>
        <v/>
      </c>
      <c r="O25" s="4" t="str">
        <f aca="false">IF(AND(WBS!$I25&lt;&gt;"",WBS!$I25&lt;=O$3+6,WBS!$J25&gt;=O$3),"A",IF(AND(WBS!$F25&lt;=O$3+6,WBS!$G25&gt;=O$3),"X",""))</f>
        <v/>
      </c>
      <c r="P25" s="4" t="str">
        <f aca="false">IF(AND(WBS!$I25&lt;&gt;"",WBS!$I25&lt;=P$3+6,WBS!$J25&gt;=P$3),"A",IF(AND(WBS!$F25&lt;=P$3+6,WBS!$G25&gt;=P$3),"X",""))</f>
        <v/>
      </c>
      <c r="Q25" s="4" t="str">
        <f aca="false">IF(AND(WBS!$I25&lt;&gt;"",WBS!$I25&lt;=Q$3+6,WBS!$J25&gt;=Q$3),"A",IF(AND(WBS!$F25&lt;=Q$3+6,WBS!$G25&gt;=Q$3),"X",""))</f>
        <v/>
      </c>
    </row>
    <row r="26" customFormat="false" ht="15" hidden="false" customHeight="false" outlineLevel="0" collapsed="false">
      <c r="A26" s="4" t="str">
        <f aca="false">WBS!A26</f>
        <v>4.1</v>
      </c>
      <c r="B26" s="5" t="str">
        <f aca="false">WBS!C26</f>
        <v>Commit dan push 3b055bd</v>
      </c>
      <c r="C26" s="4" t="str">
        <f aca="false">WBS!E26</f>
        <v>Selesai</v>
      </c>
      <c r="D26" s="4" t="str">
        <f aca="false">IF(AND(WBS!$I26&lt;&gt;"",WBS!$I26&lt;=D$3+6,WBS!$J26&gt;=D$3),"A",IF(AND(WBS!$F26&lt;=D$3+6,WBS!$G26&gt;=D$3),"X",""))</f>
        <v/>
      </c>
      <c r="E26" s="4" t="str">
        <f aca="false">IF(AND(WBS!$I26&lt;&gt;"",WBS!$I26&lt;=E$3+6,WBS!$J26&gt;=E$3),"A",IF(AND(WBS!$F26&lt;=E$3+6,WBS!$G26&gt;=E$3),"X",""))</f>
        <v/>
      </c>
      <c r="F26" s="4" t="str">
        <f aca="false">IF(AND(WBS!$I26&lt;&gt;"",WBS!$I26&lt;=F$3+6,WBS!$J26&gt;=F$3),"A",IF(AND(WBS!$F26&lt;=F$3+6,WBS!$G26&gt;=F$3),"X",""))</f>
        <v/>
      </c>
      <c r="G26" s="4" t="str">
        <f aca="false">IF(AND(WBS!$I26&lt;&gt;"",WBS!$I26&lt;=G$3+6,WBS!$J26&gt;=G$3),"A",IF(AND(WBS!$F26&lt;=G$3+6,WBS!$G26&gt;=G$3),"X",""))</f>
        <v/>
      </c>
      <c r="H26" s="4" t="str">
        <f aca="false">IF(AND(WBS!$I26&lt;&gt;"",WBS!$I26&lt;=H$3+6,WBS!$J26&gt;=H$3),"A",IF(AND(WBS!$F26&lt;=H$3+6,WBS!$G26&gt;=H$3),"X",""))</f>
        <v/>
      </c>
      <c r="I26" s="4" t="str">
        <f aca="false">IF(AND(WBS!$I26&lt;&gt;"",WBS!$I26&lt;=I$3+6,WBS!$J26&gt;=I$3),"A",IF(AND(WBS!$F26&lt;=I$3+6,WBS!$G26&gt;=I$3),"X",""))</f>
        <v/>
      </c>
      <c r="J26" s="4" t="str">
        <f aca="false">IF(AND(WBS!$I26&lt;&gt;"",WBS!$I26&lt;=J$3+6,WBS!$J26&gt;=J$3),"A",IF(AND(WBS!$F26&lt;=J$3+6,WBS!$G26&gt;=J$3),"X",""))</f>
        <v/>
      </c>
      <c r="K26" s="4" t="str">
        <f aca="false">IF(AND(WBS!$I26&lt;&gt;"",WBS!$I26&lt;=K$3+6,WBS!$J26&gt;=K$3),"A",IF(AND(WBS!$F26&lt;=K$3+6,WBS!$G26&gt;=K$3),"X",""))</f>
        <v>A</v>
      </c>
      <c r="L26" s="4" t="str">
        <f aca="false">IF(AND(WBS!$I26&lt;&gt;"",WBS!$I26&lt;=L$3+6,WBS!$J26&gt;=L$3),"A",IF(AND(WBS!$F26&lt;=L$3+6,WBS!$G26&gt;=L$3),"X",""))</f>
        <v/>
      </c>
      <c r="M26" s="4" t="str">
        <f aca="false">IF(AND(WBS!$I26&lt;&gt;"",WBS!$I26&lt;=M$3+6,WBS!$J26&gt;=M$3),"A",IF(AND(WBS!$F26&lt;=M$3+6,WBS!$G26&gt;=M$3),"X",""))</f>
        <v/>
      </c>
      <c r="N26" s="4" t="str">
        <f aca="false">IF(AND(WBS!$I26&lt;&gt;"",WBS!$I26&lt;=N$3+6,WBS!$J26&gt;=N$3),"A",IF(AND(WBS!$F26&lt;=N$3+6,WBS!$G26&gt;=N$3),"X",""))</f>
        <v/>
      </c>
      <c r="O26" s="4" t="str">
        <f aca="false">IF(AND(WBS!$I26&lt;&gt;"",WBS!$I26&lt;=O$3+6,WBS!$J26&gt;=O$3),"A",IF(AND(WBS!$F26&lt;=O$3+6,WBS!$G26&gt;=O$3),"X",""))</f>
        <v/>
      </c>
      <c r="P26" s="4" t="str">
        <f aca="false">IF(AND(WBS!$I26&lt;&gt;"",WBS!$I26&lt;=P$3+6,WBS!$J26&gt;=P$3),"A",IF(AND(WBS!$F26&lt;=P$3+6,WBS!$G26&gt;=P$3),"X",""))</f>
        <v/>
      </c>
      <c r="Q26" s="4" t="str">
        <f aca="false">IF(AND(WBS!$I26&lt;&gt;"",WBS!$I26&lt;=Q$3+6,WBS!$J26&gt;=Q$3),"A",IF(AND(WBS!$F26&lt;=Q$3+6,WBS!$G26&gt;=Q$3),"X",""))</f>
        <v/>
      </c>
    </row>
    <row r="27" customFormat="false" ht="15" hidden="false" customHeight="false" outlineLevel="0" collapsed="false">
      <c r="A27" s="4" t="str">
        <f aca="false">WBS!A27</f>
        <v>4.2</v>
      </c>
      <c r="B27" s="5" t="str">
        <f aca="false">WBS!C27</f>
        <v>Buat 6 label agent</v>
      </c>
      <c r="C27" s="4" t="str">
        <f aca="false">WBS!E27</f>
        <v>Selesai</v>
      </c>
      <c r="D27" s="4" t="str">
        <f aca="false">IF(AND(WBS!$I27&lt;&gt;"",WBS!$I27&lt;=D$3+6,WBS!$J27&gt;=D$3),"A",IF(AND(WBS!$F27&lt;=D$3+6,WBS!$G27&gt;=D$3),"X",""))</f>
        <v/>
      </c>
      <c r="E27" s="4" t="str">
        <f aca="false">IF(AND(WBS!$I27&lt;&gt;"",WBS!$I27&lt;=E$3+6,WBS!$J27&gt;=E$3),"A",IF(AND(WBS!$F27&lt;=E$3+6,WBS!$G27&gt;=E$3),"X",""))</f>
        <v/>
      </c>
      <c r="F27" s="4" t="str">
        <f aca="false">IF(AND(WBS!$I27&lt;&gt;"",WBS!$I27&lt;=F$3+6,WBS!$J27&gt;=F$3),"A",IF(AND(WBS!$F27&lt;=F$3+6,WBS!$G27&gt;=F$3),"X",""))</f>
        <v/>
      </c>
      <c r="G27" s="4" t="str">
        <f aca="false">IF(AND(WBS!$I27&lt;&gt;"",WBS!$I27&lt;=G$3+6,WBS!$J27&gt;=G$3),"A",IF(AND(WBS!$F27&lt;=G$3+6,WBS!$G27&gt;=G$3),"X",""))</f>
        <v/>
      </c>
      <c r="H27" s="4" t="str">
        <f aca="false">IF(AND(WBS!$I27&lt;&gt;"",WBS!$I27&lt;=H$3+6,WBS!$J27&gt;=H$3),"A",IF(AND(WBS!$F27&lt;=H$3+6,WBS!$G27&gt;=H$3),"X",""))</f>
        <v/>
      </c>
      <c r="I27" s="4" t="str">
        <f aca="false">IF(AND(WBS!$I27&lt;&gt;"",WBS!$I27&lt;=I$3+6,WBS!$J27&gt;=I$3),"A",IF(AND(WBS!$F27&lt;=I$3+6,WBS!$G27&gt;=I$3),"X",""))</f>
        <v/>
      </c>
      <c r="J27" s="4" t="str">
        <f aca="false">IF(AND(WBS!$I27&lt;&gt;"",WBS!$I27&lt;=J$3+6,WBS!$J27&gt;=J$3),"A",IF(AND(WBS!$F27&lt;=J$3+6,WBS!$G27&gt;=J$3),"X",""))</f>
        <v/>
      </c>
      <c r="K27" s="4" t="str">
        <f aca="false">IF(AND(WBS!$I27&lt;&gt;"",WBS!$I27&lt;=K$3+6,WBS!$J27&gt;=K$3),"A",IF(AND(WBS!$F27&lt;=K$3+6,WBS!$G27&gt;=K$3),"X",""))</f>
        <v>A</v>
      </c>
      <c r="L27" s="4" t="str">
        <f aca="false">IF(AND(WBS!$I27&lt;&gt;"",WBS!$I27&lt;=L$3+6,WBS!$J27&gt;=L$3),"A",IF(AND(WBS!$F27&lt;=L$3+6,WBS!$G27&gt;=L$3),"X",""))</f>
        <v/>
      </c>
      <c r="M27" s="4" t="str">
        <f aca="false">IF(AND(WBS!$I27&lt;&gt;"",WBS!$I27&lt;=M$3+6,WBS!$J27&gt;=M$3),"A",IF(AND(WBS!$F27&lt;=M$3+6,WBS!$G27&gt;=M$3),"X",""))</f>
        <v/>
      </c>
      <c r="N27" s="4" t="str">
        <f aca="false">IF(AND(WBS!$I27&lt;&gt;"",WBS!$I27&lt;=N$3+6,WBS!$J27&gt;=N$3),"A",IF(AND(WBS!$F27&lt;=N$3+6,WBS!$G27&gt;=N$3),"X",""))</f>
        <v/>
      </c>
      <c r="O27" s="4" t="str">
        <f aca="false">IF(AND(WBS!$I27&lt;&gt;"",WBS!$I27&lt;=O$3+6,WBS!$J27&gt;=O$3),"A",IF(AND(WBS!$F27&lt;=O$3+6,WBS!$G27&gt;=O$3),"X",""))</f>
        <v/>
      </c>
      <c r="P27" s="4" t="str">
        <f aca="false">IF(AND(WBS!$I27&lt;&gt;"",WBS!$I27&lt;=P$3+6,WBS!$J27&gt;=P$3),"A",IF(AND(WBS!$F27&lt;=P$3+6,WBS!$G27&gt;=P$3),"X",""))</f>
        <v/>
      </c>
      <c r="Q27" s="4" t="str">
        <f aca="false">IF(AND(WBS!$I27&lt;&gt;"",WBS!$I27&lt;=Q$3+6,WBS!$J27&gt;=Q$3),"A",IF(AND(WBS!$F27&lt;=Q$3+6,WBS!$G27&gt;=Q$3),"X",""))</f>
        <v/>
      </c>
    </row>
    <row r="28" customFormat="false" ht="15" hidden="false" customHeight="false" outlineLevel="0" collapsed="false">
      <c r="A28" s="4" t="str">
        <f aca="false">WBS!A28</f>
        <v>4.3</v>
      </c>
      <c r="B28" s="5" t="str">
        <f aca="false">WBS!C28</f>
        <v>Verifikasi 5 workflow terdaftar dan active</v>
      </c>
      <c r="C28" s="4" t="str">
        <f aca="false">WBS!E28</f>
        <v>Selesai</v>
      </c>
      <c r="D28" s="4" t="str">
        <f aca="false">IF(AND(WBS!$I28&lt;&gt;"",WBS!$I28&lt;=D$3+6,WBS!$J28&gt;=D$3),"A",IF(AND(WBS!$F28&lt;=D$3+6,WBS!$G28&gt;=D$3),"X",""))</f>
        <v/>
      </c>
      <c r="E28" s="4" t="str">
        <f aca="false">IF(AND(WBS!$I28&lt;&gt;"",WBS!$I28&lt;=E$3+6,WBS!$J28&gt;=E$3),"A",IF(AND(WBS!$F28&lt;=E$3+6,WBS!$G28&gt;=E$3),"X",""))</f>
        <v/>
      </c>
      <c r="F28" s="4" t="str">
        <f aca="false">IF(AND(WBS!$I28&lt;&gt;"",WBS!$I28&lt;=F$3+6,WBS!$J28&gt;=F$3),"A",IF(AND(WBS!$F28&lt;=F$3+6,WBS!$G28&gt;=F$3),"X",""))</f>
        <v/>
      </c>
      <c r="G28" s="4" t="str">
        <f aca="false">IF(AND(WBS!$I28&lt;&gt;"",WBS!$I28&lt;=G$3+6,WBS!$J28&gt;=G$3),"A",IF(AND(WBS!$F28&lt;=G$3+6,WBS!$G28&gt;=G$3),"X",""))</f>
        <v/>
      </c>
      <c r="H28" s="4" t="str">
        <f aca="false">IF(AND(WBS!$I28&lt;&gt;"",WBS!$I28&lt;=H$3+6,WBS!$J28&gt;=H$3),"A",IF(AND(WBS!$F28&lt;=H$3+6,WBS!$G28&gt;=H$3),"X",""))</f>
        <v/>
      </c>
      <c r="I28" s="4" t="str">
        <f aca="false">IF(AND(WBS!$I28&lt;&gt;"",WBS!$I28&lt;=I$3+6,WBS!$J28&gt;=I$3),"A",IF(AND(WBS!$F28&lt;=I$3+6,WBS!$G28&gt;=I$3),"X",""))</f>
        <v/>
      </c>
      <c r="J28" s="4" t="str">
        <f aca="false">IF(AND(WBS!$I28&lt;&gt;"",WBS!$I28&lt;=J$3+6,WBS!$J28&gt;=J$3),"A",IF(AND(WBS!$F28&lt;=J$3+6,WBS!$G28&gt;=J$3),"X",""))</f>
        <v/>
      </c>
      <c r="K28" s="4" t="str">
        <f aca="false">IF(AND(WBS!$I28&lt;&gt;"",WBS!$I28&lt;=K$3+6,WBS!$J28&gt;=K$3),"A",IF(AND(WBS!$F28&lt;=K$3+6,WBS!$G28&gt;=K$3),"X",""))</f>
        <v>A</v>
      </c>
      <c r="L28" s="4" t="str">
        <f aca="false">IF(AND(WBS!$I28&lt;&gt;"",WBS!$I28&lt;=L$3+6,WBS!$J28&gt;=L$3),"A",IF(AND(WBS!$F28&lt;=L$3+6,WBS!$G28&gt;=L$3),"X",""))</f>
        <v/>
      </c>
      <c r="M28" s="4" t="str">
        <f aca="false">IF(AND(WBS!$I28&lt;&gt;"",WBS!$I28&lt;=M$3+6,WBS!$J28&gt;=M$3),"A",IF(AND(WBS!$F28&lt;=M$3+6,WBS!$G28&gt;=M$3),"X",""))</f>
        <v/>
      </c>
      <c r="N28" s="4" t="str">
        <f aca="false">IF(AND(WBS!$I28&lt;&gt;"",WBS!$I28&lt;=N$3+6,WBS!$J28&gt;=N$3),"A",IF(AND(WBS!$F28&lt;=N$3+6,WBS!$G28&gt;=N$3),"X",""))</f>
        <v/>
      </c>
      <c r="O28" s="4" t="str">
        <f aca="false">IF(AND(WBS!$I28&lt;&gt;"",WBS!$I28&lt;=O$3+6,WBS!$J28&gt;=O$3),"A",IF(AND(WBS!$F28&lt;=O$3+6,WBS!$G28&gt;=O$3),"X",""))</f>
        <v/>
      </c>
      <c r="P28" s="4" t="str">
        <f aca="false">IF(AND(WBS!$I28&lt;&gt;"",WBS!$I28&lt;=P$3+6,WBS!$J28&gt;=P$3),"A",IF(AND(WBS!$F28&lt;=P$3+6,WBS!$G28&gt;=P$3),"X",""))</f>
        <v/>
      </c>
      <c r="Q28" s="4" t="str">
        <f aca="false">IF(AND(WBS!$I28&lt;&gt;"",WBS!$I28&lt;=Q$3+6,WBS!$J28&gt;=Q$3),"A",IF(AND(WBS!$F28&lt;=Q$3+6,WBS!$G28&gt;=Q$3),"X",""))</f>
        <v/>
      </c>
    </row>
    <row r="29" customFormat="false" ht="15" hidden="false" customHeight="false" outlineLevel="0" collapsed="false">
      <c r="A29" s="4" t="str">
        <f aca="false">WBS!A29</f>
        <v>5.1</v>
      </c>
      <c r="B29" s="5" t="str">
        <f aca="false">WBS!C29</f>
        <v>Buat GitHub App OCR baru</v>
      </c>
      <c r="C29" s="4" t="str">
        <f aca="false">WBS!E29</f>
        <v>Selesai</v>
      </c>
      <c r="D29" s="4" t="str">
        <f aca="false">IF(AND(WBS!$I29&lt;&gt;"",WBS!$I29&lt;=D$3+6,WBS!$J29&gt;=D$3),"A",IF(AND(WBS!$F29&lt;=D$3+6,WBS!$G29&gt;=D$3),"X",""))</f>
        <v/>
      </c>
      <c r="E29" s="4" t="str">
        <f aca="false">IF(AND(WBS!$I29&lt;&gt;"",WBS!$I29&lt;=E$3+6,WBS!$J29&gt;=E$3),"A",IF(AND(WBS!$F29&lt;=E$3+6,WBS!$G29&gt;=E$3),"X",""))</f>
        <v/>
      </c>
      <c r="F29" s="4" t="str">
        <f aca="false">IF(AND(WBS!$I29&lt;&gt;"",WBS!$I29&lt;=F$3+6,WBS!$J29&gt;=F$3),"A",IF(AND(WBS!$F29&lt;=F$3+6,WBS!$G29&gt;=F$3),"X",""))</f>
        <v/>
      </c>
      <c r="G29" s="4" t="str">
        <f aca="false">IF(AND(WBS!$I29&lt;&gt;"",WBS!$I29&lt;=G$3+6,WBS!$J29&gt;=G$3),"A",IF(AND(WBS!$F29&lt;=G$3+6,WBS!$G29&gt;=G$3),"X",""))</f>
        <v/>
      </c>
      <c r="H29" s="4" t="str">
        <f aca="false">IF(AND(WBS!$I29&lt;&gt;"",WBS!$I29&lt;=H$3+6,WBS!$J29&gt;=H$3),"A",IF(AND(WBS!$F29&lt;=H$3+6,WBS!$G29&gt;=H$3),"X",""))</f>
        <v/>
      </c>
      <c r="I29" s="4" t="str">
        <f aca="false">IF(AND(WBS!$I29&lt;&gt;"",WBS!$I29&lt;=I$3+6,WBS!$J29&gt;=I$3),"A",IF(AND(WBS!$F29&lt;=I$3+6,WBS!$G29&gt;=I$3),"X",""))</f>
        <v/>
      </c>
      <c r="J29" s="4" t="str">
        <f aca="false">IF(AND(WBS!$I29&lt;&gt;"",WBS!$I29&lt;=J$3+6,WBS!$J29&gt;=J$3),"A",IF(AND(WBS!$F29&lt;=J$3+6,WBS!$G29&gt;=J$3),"X",""))</f>
        <v/>
      </c>
      <c r="K29" s="4" t="str">
        <f aca="false">IF(AND(WBS!$I29&lt;&gt;"",WBS!$I29&lt;=K$3+6,WBS!$J29&gt;=K$3),"A",IF(AND(WBS!$F29&lt;=K$3+6,WBS!$G29&gt;=K$3),"X",""))</f>
        <v>A</v>
      </c>
      <c r="L29" s="4" t="str">
        <f aca="false">IF(AND(WBS!$I29&lt;&gt;"",WBS!$I29&lt;=L$3+6,WBS!$J29&gt;=L$3),"A",IF(AND(WBS!$F29&lt;=L$3+6,WBS!$G29&gt;=L$3),"X",""))</f>
        <v>X</v>
      </c>
      <c r="M29" s="4" t="str">
        <f aca="false">IF(AND(WBS!$I29&lt;&gt;"",WBS!$I29&lt;=M$3+6,WBS!$J29&gt;=M$3),"A",IF(AND(WBS!$F29&lt;=M$3+6,WBS!$G29&gt;=M$3),"X",""))</f>
        <v/>
      </c>
      <c r="N29" s="4" t="str">
        <f aca="false">IF(AND(WBS!$I29&lt;&gt;"",WBS!$I29&lt;=N$3+6,WBS!$J29&gt;=N$3),"A",IF(AND(WBS!$F29&lt;=N$3+6,WBS!$G29&gt;=N$3),"X",""))</f>
        <v/>
      </c>
      <c r="O29" s="4" t="str">
        <f aca="false">IF(AND(WBS!$I29&lt;&gt;"",WBS!$I29&lt;=O$3+6,WBS!$J29&gt;=O$3),"A",IF(AND(WBS!$F29&lt;=O$3+6,WBS!$G29&gt;=O$3),"X",""))</f>
        <v/>
      </c>
      <c r="P29" s="4" t="str">
        <f aca="false">IF(AND(WBS!$I29&lt;&gt;"",WBS!$I29&lt;=P$3+6,WBS!$J29&gt;=P$3),"A",IF(AND(WBS!$F29&lt;=P$3+6,WBS!$G29&gt;=P$3),"X",""))</f>
        <v/>
      </c>
      <c r="Q29" s="4" t="str">
        <f aca="false">IF(AND(WBS!$I29&lt;&gt;"",WBS!$I29&lt;=Q$3+6,WBS!$J29&gt;=Q$3),"A",IF(AND(WBS!$F29&lt;=Q$3+6,WBS!$G29&gt;=Q$3),"X",""))</f>
        <v/>
      </c>
    </row>
    <row r="30" customFormat="false" ht="15" hidden="false" customHeight="false" outlineLevel="0" collapsed="false">
      <c r="A30" s="4" t="str">
        <f aca="false">WBS!A30</f>
        <v>5.2</v>
      </c>
      <c r="B30" s="5" t="str">
        <f aca="false">WBS!C30</f>
        <v>Install App ke repo ac-sm_IaC</v>
      </c>
      <c r="C30" s="4" t="str">
        <f aca="false">WBS!E30</f>
        <v>Selesai</v>
      </c>
      <c r="D30" s="4" t="str">
        <f aca="false">IF(AND(WBS!$I30&lt;&gt;"",WBS!$I30&lt;=D$3+6,WBS!$J30&gt;=D$3),"A",IF(AND(WBS!$F30&lt;=D$3+6,WBS!$G30&gt;=D$3),"X",""))</f>
        <v/>
      </c>
      <c r="E30" s="4" t="str">
        <f aca="false">IF(AND(WBS!$I30&lt;&gt;"",WBS!$I30&lt;=E$3+6,WBS!$J30&gt;=E$3),"A",IF(AND(WBS!$F30&lt;=E$3+6,WBS!$G30&gt;=E$3),"X",""))</f>
        <v/>
      </c>
      <c r="F30" s="4" t="str">
        <f aca="false">IF(AND(WBS!$I30&lt;&gt;"",WBS!$I30&lt;=F$3+6,WBS!$J30&gt;=F$3),"A",IF(AND(WBS!$F30&lt;=F$3+6,WBS!$G30&gt;=F$3),"X",""))</f>
        <v/>
      </c>
      <c r="G30" s="4" t="str">
        <f aca="false">IF(AND(WBS!$I30&lt;&gt;"",WBS!$I30&lt;=G$3+6,WBS!$J30&gt;=G$3),"A",IF(AND(WBS!$F30&lt;=G$3+6,WBS!$G30&gt;=G$3),"X",""))</f>
        <v/>
      </c>
      <c r="H30" s="4" t="str">
        <f aca="false">IF(AND(WBS!$I30&lt;&gt;"",WBS!$I30&lt;=H$3+6,WBS!$J30&gt;=H$3),"A",IF(AND(WBS!$F30&lt;=H$3+6,WBS!$G30&gt;=H$3),"X",""))</f>
        <v/>
      </c>
      <c r="I30" s="4" t="str">
        <f aca="false">IF(AND(WBS!$I30&lt;&gt;"",WBS!$I30&lt;=I$3+6,WBS!$J30&gt;=I$3),"A",IF(AND(WBS!$F30&lt;=I$3+6,WBS!$G30&gt;=I$3),"X",""))</f>
        <v/>
      </c>
      <c r="J30" s="4" t="str">
        <f aca="false">IF(AND(WBS!$I30&lt;&gt;"",WBS!$I30&lt;=J$3+6,WBS!$J30&gt;=J$3),"A",IF(AND(WBS!$F30&lt;=J$3+6,WBS!$G30&gt;=J$3),"X",""))</f>
        <v/>
      </c>
      <c r="K30" s="4" t="str">
        <f aca="false">IF(AND(WBS!$I30&lt;&gt;"",WBS!$I30&lt;=K$3+6,WBS!$J30&gt;=K$3),"A",IF(AND(WBS!$F30&lt;=K$3+6,WBS!$G30&gt;=K$3),"X",""))</f>
        <v>A</v>
      </c>
      <c r="L30" s="4" t="str">
        <f aca="false">IF(AND(WBS!$I30&lt;&gt;"",WBS!$I30&lt;=L$3+6,WBS!$J30&gt;=L$3),"A",IF(AND(WBS!$F30&lt;=L$3+6,WBS!$G30&gt;=L$3),"X",""))</f>
        <v>A</v>
      </c>
      <c r="M30" s="4" t="str">
        <f aca="false">IF(AND(WBS!$I30&lt;&gt;"",WBS!$I30&lt;=M$3+6,WBS!$J30&gt;=M$3),"A",IF(AND(WBS!$F30&lt;=M$3+6,WBS!$G30&gt;=M$3),"X",""))</f>
        <v>A</v>
      </c>
      <c r="N30" s="4" t="str">
        <f aca="false">IF(AND(WBS!$I30&lt;&gt;"",WBS!$I30&lt;=N$3+6,WBS!$J30&gt;=N$3),"A",IF(AND(WBS!$F30&lt;=N$3+6,WBS!$G30&gt;=N$3),"X",""))</f>
        <v/>
      </c>
      <c r="O30" s="4" t="str">
        <f aca="false">IF(AND(WBS!$I30&lt;&gt;"",WBS!$I30&lt;=O$3+6,WBS!$J30&gt;=O$3),"A",IF(AND(WBS!$F30&lt;=O$3+6,WBS!$G30&gt;=O$3),"X",""))</f>
        <v/>
      </c>
      <c r="P30" s="4" t="str">
        <f aca="false">IF(AND(WBS!$I30&lt;&gt;"",WBS!$I30&lt;=P$3+6,WBS!$J30&gt;=P$3),"A",IF(AND(WBS!$F30&lt;=P$3+6,WBS!$G30&gt;=P$3),"X",""))</f>
        <v/>
      </c>
      <c r="Q30" s="4" t="str">
        <f aca="false">IF(AND(WBS!$I30&lt;&gt;"",WBS!$I30&lt;=Q$3+6,WBS!$J30&gt;=Q$3),"A",IF(AND(WBS!$F30&lt;=Q$3+6,WBS!$G30&gt;=Q$3),"X",""))</f>
        <v/>
      </c>
    </row>
    <row r="31" customFormat="false" ht="15" hidden="false" customHeight="false" outlineLevel="0" collapsed="false">
      <c r="A31" s="4" t="str">
        <f aca="false">WBS!A31</f>
        <v>5.3</v>
      </c>
      <c r="B31" s="5" t="str">
        <f aca="false">WBS!C31</f>
        <v>Isi 9 secret (9/9 terpasang)</v>
      </c>
      <c r="C31" s="4" t="str">
        <f aca="false">WBS!E31</f>
        <v>Selesai</v>
      </c>
      <c r="D31" s="4" t="str">
        <f aca="false">IF(AND(WBS!$I31&lt;&gt;"",WBS!$I31&lt;=D$3+6,WBS!$J31&gt;=D$3),"A",IF(AND(WBS!$F31&lt;=D$3+6,WBS!$G31&gt;=D$3),"X",""))</f>
        <v/>
      </c>
      <c r="E31" s="4" t="str">
        <f aca="false">IF(AND(WBS!$I31&lt;&gt;"",WBS!$I31&lt;=E$3+6,WBS!$J31&gt;=E$3),"A",IF(AND(WBS!$F31&lt;=E$3+6,WBS!$G31&gt;=E$3),"X",""))</f>
        <v/>
      </c>
      <c r="F31" s="4" t="str">
        <f aca="false">IF(AND(WBS!$I31&lt;&gt;"",WBS!$I31&lt;=F$3+6,WBS!$J31&gt;=F$3),"A",IF(AND(WBS!$F31&lt;=F$3+6,WBS!$G31&gt;=F$3),"X",""))</f>
        <v/>
      </c>
      <c r="G31" s="4" t="str">
        <f aca="false">IF(AND(WBS!$I31&lt;&gt;"",WBS!$I31&lt;=G$3+6,WBS!$J31&gt;=G$3),"A",IF(AND(WBS!$F31&lt;=G$3+6,WBS!$G31&gt;=G$3),"X",""))</f>
        <v/>
      </c>
      <c r="H31" s="4" t="str">
        <f aca="false">IF(AND(WBS!$I31&lt;&gt;"",WBS!$I31&lt;=H$3+6,WBS!$J31&gt;=H$3),"A",IF(AND(WBS!$F31&lt;=H$3+6,WBS!$G31&gt;=H$3),"X",""))</f>
        <v/>
      </c>
      <c r="I31" s="4" t="str">
        <f aca="false">IF(AND(WBS!$I31&lt;&gt;"",WBS!$I31&lt;=I$3+6,WBS!$J31&gt;=I$3),"A",IF(AND(WBS!$F31&lt;=I$3+6,WBS!$G31&gt;=I$3),"X",""))</f>
        <v/>
      </c>
      <c r="J31" s="4" t="str">
        <f aca="false">IF(AND(WBS!$I31&lt;&gt;"",WBS!$I31&lt;=J$3+6,WBS!$J31&gt;=J$3),"A",IF(AND(WBS!$F31&lt;=J$3+6,WBS!$G31&gt;=J$3),"X",""))</f>
        <v/>
      </c>
      <c r="K31" s="4" t="str">
        <f aca="false">IF(AND(WBS!$I31&lt;&gt;"",WBS!$I31&lt;=K$3+6,WBS!$J31&gt;=K$3),"A",IF(AND(WBS!$F31&lt;=K$3+6,WBS!$G31&gt;=K$3),"X",""))</f>
        <v>A</v>
      </c>
      <c r="L31" s="4" t="str">
        <f aca="false">IF(AND(WBS!$I31&lt;&gt;"",WBS!$I31&lt;=L$3+6,WBS!$J31&gt;=L$3),"A",IF(AND(WBS!$F31&lt;=L$3+6,WBS!$G31&gt;=L$3),"X",""))</f>
        <v>A</v>
      </c>
      <c r="M31" s="4" t="str">
        <f aca="false">IF(AND(WBS!$I31&lt;&gt;"",WBS!$I31&lt;=M$3+6,WBS!$J31&gt;=M$3),"A",IF(AND(WBS!$F31&lt;=M$3+6,WBS!$G31&gt;=M$3),"X",""))</f>
        <v>A</v>
      </c>
      <c r="N31" s="4" t="str">
        <f aca="false">IF(AND(WBS!$I31&lt;&gt;"",WBS!$I31&lt;=N$3+6,WBS!$J31&gt;=N$3),"A",IF(AND(WBS!$F31&lt;=N$3+6,WBS!$G31&gt;=N$3),"X",""))</f>
        <v/>
      </c>
      <c r="O31" s="4" t="str">
        <f aca="false">IF(AND(WBS!$I31&lt;&gt;"",WBS!$I31&lt;=O$3+6,WBS!$J31&gt;=O$3),"A",IF(AND(WBS!$F31&lt;=O$3+6,WBS!$G31&gt;=O$3),"X",""))</f>
        <v/>
      </c>
      <c r="P31" s="4" t="str">
        <f aca="false">IF(AND(WBS!$I31&lt;&gt;"",WBS!$I31&lt;=P$3+6,WBS!$J31&gt;=P$3),"A",IF(AND(WBS!$F31&lt;=P$3+6,WBS!$G31&gt;=P$3),"X",""))</f>
        <v/>
      </c>
      <c r="Q31" s="4" t="str">
        <f aca="false">IF(AND(WBS!$I31&lt;&gt;"",WBS!$I31&lt;=Q$3+6,WBS!$J31&gt;=Q$3),"A",IF(AND(WBS!$F31&lt;=Q$3+6,WBS!$G31&gt;=Q$3),"X",""))</f>
        <v/>
      </c>
    </row>
    <row r="32" customFormat="false" ht="15" hidden="false" customHeight="false" outlineLevel="0" collapsed="false">
      <c r="A32" s="4" t="str">
        <f aca="false">WBS!A32</f>
        <v>5.4</v>
      </c>
      <c r="B32" s="5" t="str">
        <f aca="false">WBS!C32</f>
        <v>Verifikasi 9 secret dan slug bot</v>
      </c>
      <c r="C32" s="4" t="str">
        <f aca="false">WBS!E32</f>
        <v>Selesai</v>
      </c>
      <c r="D32" s="4" t="str">
        <f aca="false">IF(AND(WBS!$I32&lt;&gt;"",WBS!$I32&lt;=D$3+6,WBS!$J32&gt;=D$3),"A",IF(AND(WBS!$F32&lt;=D$3+6,WBS!$G32&gt;=D$3),"X",""))</f>
        <v/>
      </c>
      <c r="E32" s="4" t="str">
        <f aca="false">IF(AND(WBS!$I32&lt;&gt;"",WBS!$I32&lt;=E$3+6,WBS!$J32&gt;=E$3),"A",IF(AND(WBS!$F32&lt;=E$3+6,WBS!$G32&gt;=E$3),"X",""))</f>
        <v/>
      </c>
      <c r="F32" s="4" t="str">
        <f aca="false">IF(AND(WBS!$I32&lt;&gt;"",WBS!$I32&lt;=F$3+6,WBS!$J32&gt;=F$3),"A",IF(AND(WBS!$F32&lt;=F$3+6,WBS!$G32&gt;=F$3),"X",""))</f>
        <v/>
      </c>
      <c r="G32" s="4" t="str">
        <f aca="false">IF(AND(WBS!$I32&lt;&gt;"",WBS!$I32&lt;=G$3+6,WBS!$J32&gt;=G$3),"A",IF(AND(WBS!$F32&lt;=G$3+6,WBS!$G32&gt;=G$3),"X",""))</f>
        <v/>
      </c>
      <c r="H32" s="4" t="str">
        <f aca="false">IF(AND(WBS!$I32&lt;&gt;"",WBS!$I32&lt;=H$3+6,WBS!$J32&gt;=H$3),"A",IF(AND(WBS!$F32&lt;=H$3+6,WBS!$G32&gt;=H$3),"X",""))</f>
        <v/>
      </c>
      <c r="I32" s="4" t="str">
        <f aca="false">IF(AND(WBS!$I32&lt;&gt;"",WBS!$I32&lt;=I$3+6,WBS!$J32&gt;=I$3),"A",IF(AND(WBS!$F32&lt;=I$3+6,WBS!$G32&gt;=I$3),"X",""))</f>
        <v/>
      </c>
      <c r="J32" s="4" t="str">
        <f aca="false">IF(AND(WBS!$I32&lt;&gt;"",WBS!$I32&lt;=J$3+6,WBS!$J32&gt;=J$3),"A",IF(AND(WBS!$F32&lt;=J$3+6,WBS!$G32&gt;=J$3),"X",""))</f>
        <v/>
      </c>
      <c r="K32" s="4" t="str">
        <f aca="false">IF(AND(WBS!$I32&lt;&gt;"",WBS!$I32&lt;=K$3+6,WBS!$J32&gt;=K$3),"A",IF(AND(WBS!$F32&lt;=K$3+6,WBS!$G32&gt;=K$3),"X",""))</f>
        <v/>
      </c>
      <c r="L32" s="4" t="str">
        <f aca="false">IF(AND(WBS!$I32&lt;&gt;"",WBS!$I32&lt;=L$3+6,WBS!$J32&gt;=L$3),"A",IF(AND(WBS!$F32&lt;=L$3+6,WBS!$G32&gt;=L$3),"X",""))</f>
        <v/>
      </c>
      <c r="M32" s="4" t="str">
        <f aca="false">IF(AND(WBS!$I32&lt;&gt;"",WBS!$I32&lt;=M$3+6,WBS!$J32&gt;=M$3),"A",IF(AND(WBS!$F32&lt;=M$3+6,WBS!$G32&gt;=M$3),"X",""))</f>
        <v>A</v>
      </c>
      <c r="N32" s="4" t="str">
        <f aca="false">IF(AND(WBS!$I32&lt;&gt;"",WBS!$I32&lt;=N$3+6,WBS!$J32&gt;=N$3),"A",IF(AND(WBS!$F32&lt;=N$3+6,WBS!$G32&gt;=N$3),"X",""))</f>
        <v/>
      </c>
      <c r="O32" s="4" t="str">
        <f aca="false">IF(AND(WBS!$I32&lt;&gt;"",WBS!$I32&lt;=O$3+6,WBS!$J32&gt;=O$3),"A",IF(AND(WBS!$F32&lt;=O$3+6,WBS!$G32&gt;=O$3),"X",""))</f>
        <v/>
      </c>
      <c r="P32" s="4" t="str">
        <f aca="false">IF(AND(WBS!$I32&lt;&gt;"",WBS!$I32&lt;=P$3+6,WBS!$J32&gt;=P$3),"A",IF(AND(WBS!$F32&lt;=P$3+6,WBS!$G32&gt;=P$3),"X",""))</f>
        <v/>
      </c>
      <c r="Q32" s="4" t="str">
        <f aca="false">IF(AND(WBS!$I32&lt;&gt;"",WBS!$I32&lt;=Q$3+6,WBS!$J32&gt;=Q$3),"A",IF(AND(WBS!$F32&lt;=Q$3+6,WBS!$G32&gt;=Q$3),"X",""))</f>
        <v/>
      </c>
    </row>
    <row r="33" customFormat="false" ht="15" hidden="false" customHeight="false" outlineLevel="0" collapsed="false">
      <c r="A33" s="4" t="str">
        <f aca="false">WBS!A33</f>
        <v>6.1</v>
      </c>
      <c r="B33" s="5" t="str">
        <f aca="false">WBS!C33</f>
        <v>Tulis CLAUDE.md</v>
      </c>
      <c r="C33" s="4" t="str">
        <f aca="false">WBS!E33</f>
        <v>Selesai</v>
      </c>
      <c r="D33" s="4" t="str">
        <f aca="false">IF(AND(WBS!$I33&lt;&gt;"",WBS!$I33&lt;=D$3+6,WBS!$J33&gt;=D$3),"A",IF(AND(WBS!$F33&lt;=D$3+6,WBS!$G33&gt;=D$3),"X",""))</f>
        <v/>
      </c>
      <c r="E33" s="4" t="str">
        <f aca="false">IF(AND(WBS!$I33&lt;&gt;"",WBS!$I33&lt;=E$3+6,WBS!$J33&gt;=E$3),"A",IF(AND(WBS!$F33&lt;=E$3+6,WBS!$G33&gt;=E$3),"X",""))</f>
        <v/>
      </c>
      <c r="F33" s="4" t="str">
        <f aca="false">IF(AND(WBS!$I33&lt;&gt;"",WBS!$I33&lt;=F$3+6,WBS!$J33&gt;=F$3),"A",IF(AND(WBS!$F33&lt;=F$3+6,WBS!$G33&gt;=F$3),"X",""))</f>
        <v/>
      </c>
      <c r="G33" s="4" t="str">
        <f aca="false">IF(AND(WBS!$I33&lt;&gt;"",WBS!$I33&lt;=G$3+6,WBS!$J33&gt;=G$3),"A",IF(AND(WBS!$F33&lt;=G$3+6,WBS!$G33&gt;=G$3),"X",""))</f>
        <v/>
      </c>
      <c r="H33" s="4" t="str">
        <f aca="false">IF(AND(WBS!$I33&lt;&gt;"",WBS!$I33&lt;=H$3+6,WBS!$J33&gt;=H$3),"A",IF(AND(WBS!$F33&lt;=H$3+6,WBS!$G33&gt;=H$3),"X",""))</f>
        <v/>
      </c>
      <c r="I33" s="4" t="str">
        <f aca="false">IF(AND(WBS!$I33&lt;&gt;"",WBS!$I33&lt;=I$3+6,WBS!$J33&gt;=I$3),"A",IF(AND(WBS!$F33&lt;=I$3+6,WBS!$G33&gt;=I$3),"X",""))</f>
        <v/>
      </c>
      <c r="J33" s="4" t="str">
        <f aca="false">IF(AND(WBS!$I33&lt;&gt;"",WBS!$I33&lt;=J$3+6,WBS!$J33&gt;=J$3),"A",IF(AND(WBS!$F33&lt;=J$3+6,WBS!$G33&gt;=J$3),"X",""))</f>
        <v/>
      </c>
      <c r="K33" s="4" t="str">
        <f aca="false">IF(AND(WBS!$I33&lt;&gt;"",WBS!$I33&lt;=K$3+6,WBS!$J33&gt;=K$3),"A",IF(AND(WBS!$F33&lt;=K$3+6,WBS!$G33&gt;=K$3),"X",""))</f>
        <v/>
      </c>
      <c r="L33" s="4" t="str">
        <f aca="false">IF(AND(WBS!$I33&lt;&gt;"",WBS!$I33&lt;=L$3+6,WBS!$J33&gt;=L$3),"A",IF(AND(WBS!$F33&lt;=L$3+6,WBS!$G33&gt;=L$3),"X",""))</f>
        <v/>
      </c>
      <c r="M33" s="4" t="str">
        <f aca="false">IF(AND(WBS!$I33&lt;&gt;"",WBS!$I33&lt;=M$3+6,WBS!$J33&gt;=M$3),"A",IF(AND(WBS!$F33&lt;=M$3+6,WBS!$G33&gt;=M$3),"X",""))</f>
        <v>A</v>
      </c>
      <c r="N33" s="4" t="str">
        <f aca="false">IF(AND(WBS!$I33&lt;&gt;"",WBS!$I33&lt;=N$3+6,WBS!$J33&gt;=N$3),"A",IF(AND(WBS!$F33&lt;=N$3+6,WBS!$G33&gt;=N$3),"X",""))</f>
        <v>X</v>
      </c>
      <c r="O33" s="4" t="str">
        <f aca="false">IF(AND(WBS!$I33&lt;&gt;"",WBS!$I33&lt;=O$3+6,WBS!$J33&gt;=O$3),"A",IF(AND(WBS!$F33&lt;=O$3+6,WBS!$G33&gt;=O$3),"X",""))</f>
        <v/>
      </c>
      <c r="P33" s="4" t="str">
        <f aca="false">IF(AND(WBS!$I33&lt;&gt;"",WBS!$I33&lt;=P$3+6,WBS!$J33&gt;=P$3),"A",IF(AND(WBS!$F33&lt;=P$3+6,WBS!$G33&gt;=P$3),"X",""))</f>
        <v/>
      </c>
      <c r="Q33" s="4" t="str">
        <f aca="false">IF(AND(WBS!$I33&lt;&gt;"",WBS!$I33&lt;=Q$3+6,WBS!$J33&gt;=Q$3),"A",IF(AND(WBS!$F33&lt;=Q$3+6,WBS!$G33&gt;=Q$3),"X",""))</f>
        <v/>
      </c>
    </row>
    <row r="34" customFormat="false" ht="15" hidden="false" customHeight="false" outlineLevel="0" collapsed="false">
      <c r="A34" s="4" t="str">
        <f aca="false">WBS!A34</f>
        <v>6.2</v>
      </c>
      <c r="B34" s="5" t="str">
        <f aca="false">WBS!C34</f>
        <v>Tetapkan struktur direktori dan build system</v>
      </c>
      <c r="C34" s="4" t="str">
        <f aca="false">WBS!E34</f>
        <v>Selesai</v>
      </c>
      <c r="D34" s="4" t="str">
        <f aca="false">IF(AND(WBS!$I34&lt;&gt;"",WBS!$I34&lt;=D$3+6,WBS!$J34&gt;=D$3),"A",IF(AND(WBS!$F34&lt;=D$3+6,WBS!$G34&gt;=D$3),"X",""))</f>
        <v/>
      </c>
      <c r="E34" s="4" t="str">
        <f aca="false">IF(AND(WBS!$I34&lt;&gt;"",WBS!$I34&lt;=E$3+6,WBS!$J34&gt;=E$3),"A",IF(AND(WBS!$F34&lt;=E$3+6,WBS!$G34&gt;=E$3),"X",""))</f>
        <v/>
      </c>
      <c r="F34" s="4" t="str">
        <f aca="false">IF(AND(WBS!$I34&lt;&gt;"",WBS!$I34&lt;=F$3+6,WBS!$J34&gt;=F$3),"A",IF(AND(WBS!$F34&lt;=F$3+6,WBS!$G34&gt;=F$3),"X",""))</f>
        <v/>
      </c>
      <c r="G34" s="4" t="str">
        <f aca="false">IF(AND(WBS!$I34&lt;&gt;"",WBS!$I34&lt;=G$3+6,WBS!$J34&gt;=G$3),"A",IF(AND(WBS!$F34&lt;=G$3+6,WBS!$G34&gt;=G$3),"X",""))</f>
        <v/>
      </c>
      <c r="H34" s="4" t="str">
        <f aca="false">IF(AND(WBS!$I34&lt;&gt;"",WBS!$I34&lt;=H$3+6,WBS!$J34&gt;=H$3),"A",IF(AND(WBS!$F34&lt;=H$3+6,WBS!$G34&gt;=H$3),"X",""))</f>
        <v/>
      </c>
      <c r="I34" s="4" t="str">
        <f aca="false">IF(AND(WBS!$I34&lt;&gt;"",WBS!$I34&lt;=I$3+6,WBS!$J34&gt;=I$3),"A",IF(AND(WBS!$F34&lt;=I$3+6,WBS!$G34&gt;=I$3),"X",""))</f>
        <v/>
      </c>
      <c r="J34" s="4" t="str">
        <f aca="false">IF(AND(WBS!$I34&lt;&gt;"",WBS!$I34&lt;=J$3+6,WBS!$J34&gt;=J$3),"A",IF(AND(WBS!$F34&lt;=J$3+6,WBS!$G34&gt;=J$3),"X",""))</f>
        <v/>
      </c>
      <c r="K34" s="4" t="str">
        <f aca="false">IF(AND(WBS!$I34&lt;&gt;"",WBS!$I34&lt;=K$3+6,WBS!$J34&gt;=K$3),"A",IF(AND(WBS!$F34&lt;=K$3+6,WBS!$G34&gt;=K$3),"X",""))</f>
        <v/>
      </c>
      <c r="L34" s="4" t="str">
        <f aca="false">IF(AND(WBS!$I34&lt;&gt;"",WBS!$I34&lt;=L$3+6,WBS!$J34&gt;=L$3),"A",IF(AND(WBS!$F34&lt;=L$3+6,WBS!$G34&gt;=L$3),"X",""))</f>
        <v/>
      </c>
      <c r="M34" s="4" t="str">
        <f aca="false">IF(AND(WBS!$I34&lt;&gt;"",WBS!$I34&lt;=M$3+6,WBS!$J34&gt;=M$3),"A",IF(AND(WBS!$F34&lt;=M$3+6,WBS!$G34&gt;=M$3),"X",""))</f>
        <v>A</v>
      </c>
      <c r="N34" s="4" t="str">
        <f aca="false">IF(AND(WBS!$I34&lt;&gt;"",WBS!$I34&lt;=N$3+6,WBS!$J34&gt;=N$3),"A",IF(AND(WBS!$F34&lt;=N$3+6,WBS!$G34&gt;=N$3),"X",""))</f>
        <v>X</v>
      </c>
      <c r="O34" s="4" t="str">
        <f aca="false">IF(AND(WBS!$I34&lt;&gt;"",WBS!$I34&lt;=O$3+6,WBS!$J34&gt;=O$3),"A",IF(AND(WBS!$F34&lt;=O$3+6,WBS!$G34&gt;=O$3),"X",""))</f>
        <v/>
      </c>
      <c r="P34" s="4" t="str">
        <f aca="false">IF(AND(WBS!$I34&lt;&gt;"",WBS!$I34&lt;=P$3+6,WBS!$J34&gt;=P$3),"A",IF(AND(WBS!$F34&lt;=P$3+6,WBS!$G34&gt;=P$3),"X",""))</f>
        <v/>
      </c>
      <c r="Q34" s="4" t="str">
        <f aca="false">IF(AND(WBS!$I34&lt;&gt;"",WBS!$I34&lt;=Q$3+6,WBS!$J34&gt;=Q$3),"A",IF(AND(WBS!$F34&lt;=Q$3+6,WBS!$G34&gt;=Q$3),"X",""))</f>
        <v/>
      </c>
    </row>
    <row r="35" customFormat="false" ht="15" hidden="false" customHeight="false" outlineLevel="0" collapsed="false">
      <c r="A35" s="4" t="str">
        <f aca="false">WBS!A35</f>
        <v>6.3</v>
      </c>
      <c r="B35" s="5" t="str">
        <f aca="false">WBS!C35</f>
        <v>Issue #1 sebagai uji perdana loop</v>
      </c>
      <c r="C35" s="4" t="str">
        <f aca="false">WBS!E35</f>
        <v>Selesai</v>
      </c>
      <c r="D35" s="4" t="str">
        <f aca="false">IF(AND(WBS!$I35&lt;&gt;"",WBS!$I35&lt;=D$3+6,WBS!$J35&gt;=D$3),"A",IF(AND(WBS!$F35&lt;=D$3+6,WBS!$G35&gt;=D$3),"X",""))</f>
        <v/>
      </c>
      <c r="E35" s="4" t="str">
        <f aca="false">IF(AND(WBS!$I35&lt;&gt;"",WBS!$I35&lt;=E$3+6,WBS!$J35&gt;=E$3),"A",IF(AND(WBS!$F35&lt;=E$3+6,WBS!$G35&gt;=E$3),"X",""))</f>
        <v/>
      </c>
      <c r="F35" s="4" t="str">
        <f aca="false">IF(AND(WBS!$I35&lt;&gt;"",WBS!$I35&lt;=F$3+6,WBS!$J35&gt;=F$3),"A",IF(AND(WBS!$F35&lt;=F$3+6,WBS!$G35&gt;=F$3),"X",""))</f>
        <v/>
      </c>
      <c r="G35" s="4" t="str">
        <f aca="false">IF(AND(WBS!$I35&lt;&gt;"",WBS!$I35&lt;=G$3+6,WBS!$J35&gt;=G$3),"A",IF(AND(WBS!$F35&lt;=G$3+6,WBS!$G35&gt;=G$3),"X",""))</f>
        <v/>
      </c>
      <c r="H35" s="4" t="str">
        <f aca="false">IF(AND(WBS!$I35&lt;&gt;"",WBS!$I35&lt;=H$3+6,WBS!$J35&gt;=H$3),"A",IF(AND(WBS!$F35&lt;=H$3+6,WBS!$G35&gt;=H$3),"X",""))</f>
        <v/>
      </c>
      <c r="I35" s="4" t="str">
        <f aca="false">IF(AND(WBS!$I35&lt;&gt;"",WBS!$I35&lt;=I$3+6,WBS!$J35&gt;=I$3),"A",IF(AND(WBS!$F35&lt;=I$3+6,WBS!$G35&gt;=I$3),"X",""))</f>
        <v/>
      </c>
      <c r="J35" s="4" t="str">
        <f aca="false">IF(AND(WBS!$I35&lt;&gt;"",WBS!$I35&lt;=J$3+6,WBS!$J35&gt;=J$3),"A",IF(AND(WBS!$F35&lt;=J$3+6,WBS!$G35&gt;=J$3),"X",""))</f>
        <v/>
      </c>
      <c r="K35" s="4" t="str">
        <f aca="false">IF(AND(WBS!$I35&lt;&gt;"",WBS!$I35&lt;=K$3+6,WBS!$J35&gt;=K$3),"A",IF(AND(WBS!$F35&lt;=K$3+6,WBS!$G35&gt;=K$3),"X",""))</f>
        <v/>
      </c>
      <c r="L35" s="4" t="str">
        <f aca="false">IF(AND(WBS!$I35&lt;&gt;"",WBS!$I35&lt;=L$3+6,WBS!$J35&gt;=L$3),"A",IF(AND(WBS!$F35&lt;=L$3+6,WBS!$G35&gt;=L$3),"X",""))</f>
        <v/>
      </c>
      <c r="M35" s="4" t="str">
        <f aca="false">IF(AND(WBS!$I35&lt;&gt;"",WBS!$I35&lt;=M$3+6,WBS!$J35&gt;=M$3),"A",IF(AND(WBS!$F35&lt;=M$3+6,WBS!$G35&gt;=M$3),"X",""))</f>
        <v>A</v>
      </c>
      <c r="N35" s="4" t="str">
        <f aca="false">IF(AND(WBS!$I35&lt;&gt;"",WBS!$I35&lt;=N$3+6,WBS!$J35&gt;=N$3),"A",IF(AND(WBS!$F35&lt;=N$3+6,WBS!$G35&gt;=N$3),"X",""))</f>
        <v>X</v>
      </c>
      <c r="O35" s="4" t="str">
        <f aca="false">IF(AND(WBS!$I35&lt;&gt;"",WBS!$I35&lt;=O$3+6,WBS!$J35&gt;=O$3),"A",IF(AND(WBS!$F35&lt;=O$3+6,WBS!$G35&gt;=O$3),"X",""))</f>
        <v/>
      </c>
      <c r="P35" s="4" t="str">
        <f aca="false">IF(AND(WBS!$I35&lt;&gt;"",WBS!$I35&lt;=P$3+6,WBS!$J35&gt;=P$3),"A",IF(AND(WBS!$F35&lt;=P$3+6,WBS!$G35&gt;=P$3),"X",""))</f>
        <v/>
      </c>
      <c r="Q35" s="4" t="str">
        <f aca="false">IF(AND(WBS!$I35&lt;&gt;"",WBS!$I35&lt;=Q$3+6,WBS!$J35&gt;=Q$3),"A",IF(AND(WBS!$F35&lt;=Q$3+6,WBS!$G35&gt;=Q$3),"X",""))</f>
        <v/>
      </c>
    </row>
    <row r="36" customFormat="false" ht="15" hidden="false" customHeight="false" outlineLevel="0" collapsed="false">
      <c r="A36" s="4" t="str">
        <f aca="false">WBS!A36</f>
        <v>7.1</v>
      </c>
      <c r="B36" s="5" t="str">
        <f aca="false">WBS!C36</f>
        <v>Tahap PLAN</v>
      </c>
      <c r="C36" s="4" t="str">
        <f aca="false">WBS!E36</f>
        <v>Selesai</v>
      </c>
      <c r="D36" s="4" t="str">
        <f aca="false">IF(AND(WBS!$I36&lt;&gt;"",WBS!$I36&lt;=D$3+6,WBS!$J36&gt;=D$3),"A",IF(AND(WBS!$F36&lt;=D$3+6,WBS!$G36&gt;=D$3),"X",""))</f>
        <v/>
      </c>
      <c r="E36" s="4" t="str">
        <f aca="false">IF(AND(WBS!$I36&lt;&gt;"",WBS!$I36&lt;=E$3+6,WBS!$J36&gt;=E$3),"A",IF(AND(WBS!$F36&lt;=E$3+6,WBS!$G36&gt;=E$3),"X",""))</f>
        <v/>
      </c>
      <c r="F36" s="4" t="str">
        <f aca="false">IF(AND(WBS!$I36&lt;&gt;"",WBS!$I36&lt;=F$3+6,WBS!$J36&gt;=F$3),"A",IF(AND(WBS!$F36&lt;=F$3+6,WBS!$G36&gt;=F$3),"X",""))</f>
        <v/>
      </c>
      <c r="G36" s="4" t="str">
        <f aca="false">IF(AND(WBS!$I36&lt;&gt;"",WBS!$I36&lt;=G$3+6,WBS!$J36&gt;=G$3),"A",IF(AND(WBS!$F36&lt;=G$3+6,WBS!$G36&gt;=G$3),"X",""))</f>
        <v/>
      </c>
      <c r="H36" s="4" t="str">
        <f aca="false">IF(AND(WBS!$I36&lt;&gt;"",WBS!$I36&lt;=H$3+6,WBS!$J36&gt;=H$3),"A",IF(AND(WBS!$F36&lt;=H$3+6,WBS!$G36&gt;=H$3),"X",""))</f>
        <v/>
      </c>
      <c r="I36" s="4" t="str">
        <f aca="false">IF(AND(WBS!$I36&lt;&gt;"",WBS!$I36&lt;=I$3+6,WBS!$J36&gt;=I$3),"A",IF(AND(WBS!$F36&lt;=I$3+6,WBS!$G36&gt;=I$3),"X",""))</f>
        <v/>
      </c>
      <c r="J36" s="4" t="str">
        <f aca="false">IF(AND(WBS!$I36&lt;&gt;"",WBS!$I36&lt;=J$3+6,WBS!$J36&gt;=J$3),"A",IF(AND(WBS!$F36&lt;=J$3+6,WBS!$G36&gt;=J$3),"X",""))</f>
        <v/>
      </c>
      <c r="K36" s="4" t="str">
        <f aca="false">IF(AND(WBS!$I36&lt;&gt;"",WBS!$I36&lt;=K$3+6,WBS!$J36&gt;=K$3),"A",IF(AND(WBS!$F36&lt;=K$3+6,WBS!$G36&gt;=K$3),"X",""))</f>
        <v/>
      </c>
      <c r="L36" s="4" t="str">
        <f aca="false">IF(AND(WBS!$I36&lt;&gt;"",WBS!$I36&lt;=L$3+6,WBS!$J36&gt;=L$3),"A",IF(AND(WBS!$F36&lt;=L$3+6,WBS!$G36&gt;=L$3),"X",""))</f>
        <v/>
      </c>
      <c r="M36" s="4" t="str">
        <f aca="false">IF(AND(WBS!$I36&lt;&gt;"",WBS!$I36&lt;=M$3+6,WBS!$J36&gt;=M$3),"A",IF(AND(WBS!$F36&lt;=M$3+6,WBS!$G36&gt;=M$3),"X",""))</f>
        <v>A</v>
      </c>
      <c r="N36" s="4" t="str">
        <f aca="false">IF(AND(WBS!$I36&lt;&gt;"",WBS!$I36&lt;=N$3+6,WBS!$J36&gt;=N$3),"A",IF(AND(WBS!$F36&lt;=N$3+6,WBS!$G36&gt;=N$3),"X",""))</f>
        <v/>
      </c>
      <c r="O36" s="4" t="str">
        <f aca="false">IF(AND(WBS!$I36&lt;&gt;"",WBS!$I36&lt;=O$3+6,WBS!$J36&gt;=O$3),"A",IF(AND(WBS!$F36&lt;=O$3+6,WBS!$G36&gt;=O$3),"X",""))</f>
        <v>X</v>
      </c>
      <c r="P36" s="4" t="str">
        <f aca="false">IF(AND(WBS!$I36&lt;&gt;"",WBS!$I36&lt;=P$3+6,WBS!$J36&gt;=P$3),"A",IF(AND(WBS!$F36&lt;=P$3+6,WBS!$G36&gt;=P$3),"X",""))</f>
        <v/>
      </c>
      <c r="Q36" s="4" t="str">
        <f aca="false">IF(AND(WBS!$I36&lt;&gt;"",WBS!$I36&lt;=Q$3+6,WBS!$J36&gt;=Q$3),"A",IF(AND(WBS!$F36&lt;=Q$3+6,WBS!$G36&gt;=Q$3),"X",""))</f>
        <v/>
      </c>
    </row>
    <row r="37" customFormat="false" ht="15" hidden="false" customHeight="false" outlineLevel="0" collapsed="false">
      <c r="A37" s="4" t="str">
        <f aca="false">WBS!A37</f>
        <v>7.2</v>
      </c>
      <c r="B37" s="5" t="str">
        <f aca="false">WBS!C37</f>
        <v>Tahap IMPLEMENT</v>
      </c>
      <c r="C37" s="4" t="str">
        <f aca="false">WBS!E37</f>
        <v>Selesai</v>
      </c>
      <c r="D37" s="4" t="str">
        <f aca="false">IF(AND(WBS!$I37&lt;&gt;"",WBS!$I37&lt;=D$3+6,WBS!$J37&gt;=D$3),"A",IF(AND(WBS!$F37&lt;=D$3+6,WBS!$G37&gt;=D$3),"X",""))</f>
        <v/>
      </c>
      <c r="E37" s="4" t="str">
        <f aca="false">IF(AND(WBS!$I37&lt;&gt;"",WBS!$I37&lt;=E$3+6,WBS!$J37&gt;=E$3),"A",IF(AND(WBS!$F37&lt;=E$3+6,WBS!$G37&gt;=E$3),"X",""))</f>
        <v/>
      </c>
      <c r="F37" s="4" t="str">
        <f aca="false">IF(AND(WBS!$I37&lt;&gt;"",WBS!$I37&lt;=F$3+6,WBS!$J37&gt;=F$3),"A",IF(AND(WBS!$F37&lt;=F$3+6,WBS!$G37&gt;=F$3),"X",""))</f>
        <v/>
      </c>
      <c r="G37" s="4" t="str">
        <f aca="false">IF(AND(WBS!$I37&lt;&gt;"",WBS!$I37&lt;=G$3+6,WBS!$J37&gt;=G$3),"A",IF(AND(WBS!$F37&lt;=G$3+6,WBS!$G37&gt;=G$3),"X",""))</f>
        <v/>
      </c>
      <c r="H37" s="4" t="str">
        <f aca="false">IF(AND(WBS!$I37&lt;&gt;"",WBS!$I37&lt;=H$3+6,WBS!$J37&gt;=H$3),"A",IF(AND(WBS!$F37&lt;=H$3+6,WBS!$G37&gt;=H$3),"X",""))</f>
        <v/>
      </c>
      <c r="I37" s="4" t="str">
        <f aca="false">IF(AND(WBS!$I37&lt;&gt;"",WBS!$I37&lt;=I$3+6,WBS!$J37&gt;=I$3),"A",IF(AND(WBS!$F37&lt;=I$3+6,WBS!$G37&gt;=I$3),"X",""))</f>
        <v/>
      </c>
      <c r="J37" s="4" t="str">
        <f aca="false">IF(AND(WBS!$I37&lt;&gt;"",WBS!$I37&lt;=J$3+6,WBS!$J37&gt;=J$3),"A",IF(AND(WBS!$F37&lt;=J$3+6,WBS!$G37&gt;=J$3),"X",""))</f>
        <v/>
      </c>
      <c r="K37" s="4" t="str">
        <f aca="false">IF(AND(WBS!$I37&lt;&gt;"",WBS!$I37&lt;=K$3+6,WBS!$J37&gt;=K$3),"A",IF(AND(WBS!$F37&lt;=K$3+6,WBS!$G37&gt;=K$3),"X",""))</f>
        <v/>
      </c>
      <c r="L37" s="4" t="str">
        <f aca="false">IF(AND(WBS!$I37&lt;&gt;"",WBS!$I37&lt;=L$3+6,WBS!$J37&gt;=L$3),"A",IF(AND(WBS!$F37&lt;=L$3+6,WBS!$G37&gt;=L$3),"X",""))</f>
        <v/>
      </c>
      <c r="M37" s="4" t="str">
        <f aca="false">IF(AND(WBS!$I37&lt;&gt;"",WBS!$I37&lt;=M$3+6,WBS!$J37&gt;=M$3),"A",IF(AND(WBS!$F37&lt;=M$3+6,WBS!$G37&gt;=M$3),"X",""))</f>
        <v>A</v>
      </c>
      <c r="N37" s="4" t="str">
        <f aca="false">IF(AND(WBS!$I37&lt;&gt;"",WBS!$I37&lt;=N$3+6,WBS!$J37&gt;=N$3),"A",IF(AND(WBS!$F37&lt;=N$3+6,WBS!$G37&gt;=N$3),"X",""))</f>
        <v/>
      </c>
      <c r="O37" s="4" t="str">
        <f aca="false">IF(AND(WBS!$I37&lt;&gt;"",WBS!$I37&lt;=O$3+6,WBS!$J37&gt;=O$3),"A",IF(AND(WBS!$F37&lt;=O$3+6,WBS!$G37&gt;=O$3),"X",""))</f>
        <v>X</v>
      </c>
      <c r="P37" s="4" t="str">
        <f aca="false">IF(AND(WBS!$I37&lt;&gt;"",WBS!$I37&lt;=P$3+6,WBS!$J37&gt;=P$3),"A",IF(AND(WBS!$F37&lt;=P$3+6,WBS!$G37&gt;=P$3),"X",""))</f>
        <v/>
      </c>
      <c r="Q37" s="4" t="str">
        <f aca="false">IF(AND(WBS!$I37&lt;&gt;"",WBS!$I37&lt;=Q$3+6,WBS!$J37&gt;=Q$3),"A",IF(AND(WBS!$F37&lt;=Q$3+6,WBS!$G37&gt;=Q$3),"X",""))</f>
        <v/>
      </c>
    </row>
    <row r="38" customFormat="false" ht="15" hidden="false" customHeight="false" outlineLevel="0" collapsed="false">
      <c r="A38" s="4" t="str">
        <f aca="false">WBS!A38</f>
        <v>7.3</v>
      </c>
      <c r="B38" s="5" t="str">
        <f aca="false">WBS!C38</f>
        <v>Review OpenCodeReview</v>
      </c>
      <c r="C38" s="4" t="str">
        <f aca="false">WBS!E38</f>
        <v>Selesai</v>
      </c>
      <c r="D38" s="4" t="str">
        <f aca="false">IF(AND(WBS!$I38&lt;&gt;"",WBS!$I38&lt;=D$3+6,WBS!$J38&gt;=D$3),"A",IF(AND(WBS!$F38&lt;=D$3+6,WBS!$G38&gt;=D$3),"X",""))</f>
        <v/>
      </c>
      <c r="E38" s="4" t="str">
        <f aca="false">IF(AND(WBS!$I38&lt;&gt;"",WBS!$I38&lt;=E$3+6,WBS!$J38&gt;=E$3),"A",IF(AND(WBS!$F38&lt;=E$3+6,WBS!$G38&gt;=E$3),"X",""))</f>
        <v/>
      </c>
      <c r="F38" s="4" t="str">
        <f aca="false">IF(AND(WBS!$I38&lt;&gt;"",WBS!$I38&lt;=F$3+6,WBS!$J38&gt;=F$3),"A",IF(AND(WBS!$F38&lt;=F$3+6,WBS!$G38&gt;=F$3),"X",""))</f>
        <v/>
      </c>
      <c r="G38" s="4" t="str">
        <f aca="false">IF(AND(WBS!$I38&lt;&gt;"",WBS!$I38&lt;=G$3+6,WBS!$J38&gt;=G$3),"A",IF(AND(WBS!$F38&lt;=G$3+6,WBS!$G38&gt;=G$3),"X",""))</f>
        <v/>
      </c>
      <c r="H38" s="4" t="str">
        <f aca="false">IF(AND(WBS!$I38&lt;&gt;"",WBS!$I38&lt;=H$3+6,WBS!$J38&gt;=H$3),"A",IF(AND(WBS!$F38&lt;=H$3+6,WBS!$G38&gt;=H$3),"X",""))</f>
        <v/>
      </c>
      <c r="I38" s="4" t="str">
        <f aca="false">IF(AND(WBS!$I38&lt;&gt;"",WBS!$I38&lt;=I$3+6,WBS!$J38&gt;=I$3),"A",IF(AND(WBS!$F38&lt;=I$3+6,WBS!$G38&gt;=I$3),"X",""))</f>
        <v/>
      </c>
      <c r="J38" s="4" t="str">
        <f aca="false">IF(AND(WBS!$I38&lt;&gt;"",WBS!$I38&lt;=J$3+6,WBS!$J38&gt;=J$3),"A",IF(AND(WBS!$F38&lt;=J$3+6,WBS!$G38&gt;=J$3),"X",""))</f>
        <v/>
      </c>
      <c r="K38" s="4" t="str">
        <f aca="false">IF(AND(WBS!$I38&lt;&gt;"",WBS!$I38&lt;=K$3+6,WBS!$J38&gt;=K$3),"A",IF(AND(WBS!$F38&lt;=K$3+6,WBS!$G38&gt;=K$3),"X",""))</f>
        <v/>
      </c>
      <c r="L38" s="4" t="str">
        <f aca="false">IF(AND(WBS!$I38&lt;&gt;"",WBS!$I38&lt;=L$3+6,WBS!$J38&gt;=L$3),"A",IF(AND(WBS!$F38&lt;=L$3+6,WBS!$G38&gt;=L$3),"X",""))</f>
        <v/>
      </c>
      <c r="M38" s="4" t="str">
        <f aca="false">IF(AND(WBS!$I38&lt;&gt;"",WBS!$I38&lt;=M$3+6,WBS!$J38&gt;=M$3),"A",IF(AND(WBS!$F38&lt;=M$3+6,WBS!$G38&gt;=M$3),"X",""))</f>
        <v>A</v>
      </c>
      <c r="N38" s="4" t="str">
        <f aca="false">IF(AND(WBS!$I38&lt;&gt;"",WBS!$I38&lt;=N$3+6,WBS!$J38&gt;=N$3),"A",IF(AND(WBS!$F38&lt;=N$3+6,WBS!$G38&gt;=N$3),"X",""))</f>
        <v/>
      </c>
      <c r="O38" s="4" t="str">
        <f aca="false">IF(AND(WBS!$I38&lt;&gt;"",WBS!$I38&lt;=O$3+6,WBS!$J38&gt;=O$3),"A",IF(AND(WBS!$F38&lt;=O$3+6,WBS!$G38&gt;=O$3),"X",""))</f>
        <v>X</v>
      </c>
      <c r="P38" s="4" t="str">
        <f aca="false">IF(AND(WBS!$I38&lt;&gt;"",WBS!$I38&lt;=P$3+6,WBS!$J38&gt;=P$3),"A",IF(AND(WBS!$F38&lt;=P$3+6,WBS!$G38&gt;=P$3),"X",""))</f>
        <v/>
      </c>
      <c r="Q38" s="4" t="str">
        <f aca="false">IF(AND(WBS!$I38&lt;&gt;"",WBS!$I38&lt;=Q$3+6,WBS!$J38&gt;=Q$3),"A",IF(AND(WBS!$F38&lt;=Q$3+6,WBS!$G38&gt;=Q$3),"X",""))</f>
        <v/>
      </c>
    </row>
    <row r="39" customFormat="false" ht="15" hidden="false" customHeight="false" outlineLevel="0" collapsed="false">
      <c r="A39" s="4" t="str">
        <f aca="false">WBS!A39</f>
        <v>7.4</v>
      </c>
      <c r="B39" s="5" t="str">
        <f aca="false">WBS!C39</f>
        <v>agent-fix dan traceability</v>
      </c>
      <c r="C39" s="4" t="str">
        <f aca="false">WBS!E39</f>
        <v>Selesai</v>
      </c>
      <c r="D39" s="4" t="str">
        <f aca="false">IF(AND(WBS!$I39&lt;&gt;"",WBS!$I39&lt;=D$3+6,WBS!$J39&gt;=D$3),"A",IF(AND(WBS!$F39&lt;=D$3+6,WBS!$G39&gt;=D$3),"X",""))</f>
        <v/>
      </c>
      <c r="E39" s="4" t="str">
        <f aca="false">IF(AND(WBS!$I39&lt;&gt;"",WBS!$I39&lt;=E$3+6,WBS!$J39&gt;=E$3),"A",IF(AND(WBS!$F39&lt;=E$3+6,WBS!$G39&gt;=E$3),"X",""))</f>
        <v/>
      </c>
      <c r="F39" s="4" t="str">
        <f aca="false">IF(AND(WBS!$I39&lt;&gt;"",WBS!$I39&lt;=F$3+6,WBS!$J39&gt;=F$3),"A",IF(AND(WBS!$F39&lt;=F$3+6,WBS!$G39&gt;=F$3),"X",""))</f>
        <v/>
      </c>
      <c r="G39" s="4" t="str">
        <f aca="false">IF(AND(WBS!$I39&lt;&gt;"",WBS!$I39&lt;=G$3+6,WBS!$J39&gt;=G$3),"A",IF(AND(WBS!$F39&lt;=G$3+6,WBS!$G39&gt;=G$3),"X",""))</f>
        <v/>
      </c>
      <c r="H39" s="4" t="str">
        <f aca="false">IF(AND(WBS!$I39&lt;&gt;"",WBS!$I39&lt;=H$3+6,WBS!$J39&gt;=H$3),"A",IF(AND(WBS!$F39&lt;=H$3+6,WBS!$G39&gt;=H$3),"X",""))</f>
        <v/>
      </c>
      <c r="I39" s="4" t="str">
        <f aca="false">IF(AND(WBS!$I39&lt;&gt;"",WBS!$I39&lt;=I$3+6,WBS!$J39&gt;=I$3),"A",IF(AND(WBS!$F39&lt;=I$3+6,WBS!$G39&gt;=I$3),"X",""))</f>
        <v/>
      </c>
      <c r="J39" s="4" t="str">
        <f aca="false">IF(AND(WBS!$I39&lt;&gt;"",WBS!$I39&lt;=J$3+6,WBS!$J39&gt;=J$3),"A",IF(AND(WBS!$F39&lt;=J$3+6,WBS!$G39&gt;=J$3),"X",""))</f>
        <v/>
      </c>
      <c r="K39" s="4" t="str">
        <f aca="false">IF(AND(WBS!$I39&lt;&gt;"",WBS!$I39&lt;=K$3+6,WBS!$J39&gt;=K$3),"A",IF(AND(WBS!$F39&lt;=K$3+6,WBS!$G39&gt;=K$3),"X",""))</f>
        <v/>
      </c>
      <c r="L39" s="4" t="str">
        <f aca="false">IF(AND(WBS!$I39&lt;&gt;"",WBS!$I39&lt;=L$3+6,WBS!$J39&gt;=L$3),"A",IF(AND(WBS!$F39&lt;=L$3+6,WBS!$G39&gt;=L$3),"X",""))</f>
        <v/>
      </c>
      <c r="M39" s="4" t="str">
        <f aca="false">IF(AND(WBS!$I39&lt;&gt;"",WBS!$I39&lt;=M$3+6,WBS!$J39&gt;=M$3),"A",IF(AND(WBS!$F39&lt;=M$3+6,WBS!$G39&gt;=M$3),"X",""))</f>
        <v>A</v>
      </c>
      <c r="N39" s="4" t="str">
        <f aca="false">IF(AND(WBS!$I39&lt;&gt;"",WBS!$I39&lt;=N$3+6,WBS!$J39&gt;=N$3),"A",IF(AND(WBS!$F39&lt;=N$3+6,WBS!$G39&gt;=N$3),"X",""))</f>
        <v/>
      </c>
      <c r="O39" s="4" t="str">
        <f aca="false">IF(AND(WBS!$I39&lt;&gt;"",WBS!$I39&lt;=O$3+6,WBS!$J39&gt;=O$3),"A",IF(AND(WBS!$F39&lt;=O$3+6,WBS!$G39&gt;=O$3),"X",""))</f>
        <v>X</v>
      </c>
      <c r="P39" s="4" t="str">
        <f aca="false">IF(AND(WBS!$I39&lt;&gt;"",WBS!$I39&lt;=P$3+6,WBS!$J39&gt;=P$3),"A",IF(AND(WBS!$F39&lt;=P$3+6,WBS!$G39&gt;=P$3),"X",""))</f>
        <v/>
      </c>
      <c r="Q39" s="4" t="str">
        <f aca="false">IF(AND(WBS!$I39&lt;&gt;"",WBS!$I39&lt;=Q$3+6,WBS!$J39&gt;=Q$3),"A",IF(AND(WBS!$F39&lt;=Q$3+6,WBS!$G39&gt;=Q$3),"X",""))</f>
        <v/>
      </c>
    </row>
    <row r="40" customFormat="false" ht="15" hidden="false" customHeight="false" outlineLevel="0" collapsed="false">
      <c r="A40" s="4" t="str">
        <f aca="false">WBS!A40</f>
        <v>7.5</v>
      </c>
      <c r="B40" s="5" t="str">
        <f aca="false">WBS!C40</f>
        <v>ac-verify dan auto-loop</v>
      </c>
      <c r="C40" s="4" t="str">
        <f aca="false">WBS!E40</f>
        <v>Selesai</v>
      </c>
      <c r="D40" s="4" t="str">
        <f aca="false">IF(AND(WBS!$I40&lt;&gt;"",WBS!$I40&lt;=D$3+6,WBS!$J40&gt;=D$3),"A",IF(AND(WBS!$F40&lt;=D$3+6,WBS!$G40&gt;=D$3),"X",""))</f>
        <v/>
      </c>
      <c r="E40" s="4" t="str">
        <f aca="false">IF(AND(WBS!$I40&lt;&gt;"",WBS!$I40&lt;=E$3+6,WBS!$J40&gt;=E$3),"A",IF(AND(WBS!$F40&lt;=E$3+6,WBS!$G40&gt;=E$3),"X",""))</f>
        <v/>
      </c>
      <c r="F40" s="4" t="str">
        <f aca="false">IF(AND(WBS!$I40&lt;&gt;"",WBS!$I40&lt;=F$3+6,WBS!$J40&gt;=F$3),"A",IF(AND(WBS!$F40&lt;=F$3+6,WBS!$G40&gt;=F$3),"X",""))</f>
        <v/>
      </c>
      <c r="G40" s="4" t="str">
        <f aca="false">IF(AND(WBS!$I40&lt;&gt;"",WBS!$I40&lt;=G$3+6,WBS!$J40&gt;=G$3),"A",IF(AND(WBS!$F40&lt;=G$3+6,WBS!$G40&gt;=G$3),"X",""))</f>
        <v/>
      </c>
      <c r="H40" s="4" t="str">
        <f aca="false">IF(AND(WBS!$I40&lt;&gt;"",WBS!$I40&lt;=H$3+6,WBS!$J40&gt;=H$3),"A",IF(AND(WBS!$F40&lt;=H$3+6,WBS!$G40&gt;=H$3),"X",""))</f>
        <v/>
      </c>
      <c r="I40" s="4" t="str">
        <f aca="false">IF(AND(WBS!$I40&lt;&gt;"",WBS!$I40&lt;=I$3+6,WBS!$J40&gt;=I$3),"A",IF(AND(WBS!$F40&lt;=I$3+6,WBS!$G40&gt;=I$3),"X",""))</f>
        <v/>
      </c>
      <c r="J40" s="4" t="str">
        <f aca="false">IF(AND(WBS!$I40&lt;&gt;"",WBS!$I40&lt;=J$3+6,WBS!$J40&gt;=J$3),"A",IF(AND(WBS!$F40&lt;=J$3+6,WBS!$G40&gt;=J$3),"X",""))</f>
        <v/>
      </c>
      <c r="K40" s="4" t="str">
        <f aca="false">IF(AND(WBS!$I40&lt;&gt;"",WBS!$I40&lt;=K$3+6,WBS!$J40&gt;=K$3),"A",IF(AND(WBS!$F40&lt;=K$3+6,WBS!$G40&gt;=K$3),"X",""))</f>
        <v/>
      </c>
      <c r="L40" s="4" t="str">
        <f aca="false">IF(AND(WBS!$I40&lt;&gt;"",WBS!$I40&lt;=L$3+6,WBS!$J40&gt;=L$3),"A",IF(AND(WBS!$F40&lt;=L$3+6,WBS!$G40&gt;=L$3),"X",""))</f>
        <v/>
      </c>
      <c r="M40" s="4" t="str">
        <f aca="false">IF(AND(WBS!$I40&lt;&gt;"",WBS!$I40&lt;=M$3+6,WBS!$J40&gt;=M$3),"A",IF(AND(WBS!$F40&lt;=M$3+6,WBS!$G40&gt;=M$3),"X",""))</f>
        <v>A</v>
      </c>
      <c r="N40" s="4" t="str">
        <f aca="false">IF(AND(WBS!$I40&lt;&gt;"",WBS!$I40&lt;=N$3+6,WBS!$J40&gt;=N$3),"A",IF(AND(WBS!$F40&lt;=N$3+6,WBS!$G40&gt;=N$3),"X",""))</f>
        <v/>
      </c>
      <c r="O40" s="4" t="str">
        <f aca="false">IF(AND(WBS!$I40&lt;&gt;"",WBS!$I40&lt;=O$3+6,WBS!$J40&gt;=O$3),"A",IF(AND(WBS!$F40&lt;=O$3+6,WBS!$G40&gt;=O$3),"X",""))</f>
        <v>X</v>
      </c>
      <c r="P40" s="4" t="str">
        <f aca="false">IF(AND(WBS!$I40&lt;&gt;"",WBS!$I40&lt;=P$3+6,WBS!$J40&gt;=P$3),"A",IF(AND(WBS!$F40&lt;=P$3+6,WBS!$G40&gt;=P$3),"X",""))</f>
        <v/>
      </c>
      <c r="Q40" s="4" t="str">
        <f aca="false">IF(AND(WBS!$I40&lt;&gt;"",WBS!$I40&lt;=Q$3+6,WBS!$J40&gt;=Q$3),"A",IF(AND(WBS!$F40&lt;=Q$3+6,WBS!$G40&gt;=Q$3),"X",""))</f>
        <v/>
      </c>
    </row>
    <row r="41" customFormat="false" ht="15" hidden="false" customHeight="false" outlineLevel="0" collapsed="false">
      <c r="A41" s="4" t="str">
        <f aca="false">WBS!A41</f>
        <v>7.6</v>
      </c>
      <c r="B41" s="5" t="str">
        <f aca="false">WBS!C41</f>
        <v>ocr-rebuttal</v>
      </c>
      <c r="C41" s="4" t="str">
        <f aca="false">WBS!E41</f>
        <v>Belum teruji</v>
      </c>
      <c r="D41" s="4" t="str">
        <f aca="false">IF(AND(WBS!$I41&lt;&gt;"",WBS!$I41&lt;=D$3+6,WBS!$J41&gt;=D$3),"A",IF(AND(WBS!$F41&lt;=D$3+6,WBS!$G41&gt;=D$3),"X",""))</f>
        <v/>
      </c>
      <c r="E41" s="4" t="str">
        <f aca="false">IF(AND(WBS!$I41&lt;&gt;"",WBS!$I41&lt;=E$3+6,WBS!$J41&gt;=E$3),"A",IF(AND(WBS!$F41&lt;=E$3+6,WBS!$G41&gt;=E$3),"X",""))</f>
        <v/>
      </c>
      <c r="F41" s="4" t="str">
        <f aca="false">IF(AND(WBS!$I41&lt;&gt;"",WBS!$I41&lt;=F$3+6,WBS!$J41&gt;=F$3),"A",IF(AND(WBS!$F41&lt;=F$3+6,WBS!$G41&gt;=F$3),"X",""))</f>
        <v/>
      </c>
      <c r="G41" s="4" t="str">
        <f aca="false">IF(AND(WBS!$I41&lt;&gt;"",WBS!$I41&lt;=G$3+6,WBS!$J41&gt;=G$3),"A",IF(AND(WBS!$F41&lt;=G$3+6,WBS!$G41&gt;=G$3),"X",""))</f>
        <v/>
      </c>
      <c r="H41" s="4" t="str">
        <f aca="false">IF(AND(WBS!$I41&lt;&gt;"",WBS!$I41&lt;=H$3+6,WBS!$J41&gt;=H$3),"A",IF(AND(WBS!$F41&lt;=H$3+6,WBS!$G41&gt;=H$3),"X",""))</f>
        <v/>
      </c>
      <c r="I41" s="4" t="str">
        <f aca="false">IF(AND(WBS!$I41&lt;&gt;"",WBS!$I41&lt;=I$3+6,WBS!$J41&gt;=I$3),"A",IF(AND(WBS!$F41&lt;=I$3+6,WBS!$G41&gt;=I$3),"X",""))</f>
        <v/>
      </c>
      <c r="J41" s="4" t="str">
        <f aca="false">IF(AND(WBS!$I41&lt;&gt;"",WBS!$I41&lt;=J$3+6,WBS!$J41&gt;=J$3),"A",IF(AND(WBS!$F41&lt;=J$3+6,WBS!$G41&gt;=J$3),"X",""))</f>
        <v/>
      </c>
      <c r="K41" s="4" t="str">
        <f aca="false">IF(AND(WBS!$I41&lt;&gt;"",WBS!$I41&lt;=K$3+6,WBS!$J41&gt;=K$3),"A",IF(AND(WBS!$F41&lt;=K$3+6,WBS!$G41&gt;=K$3),"X",""))</f>
        <v/>
      </c>
      <c r="L41" s="4" t="str">
        <f aca="false">IF(AND(WBS!$I41&lt;&gt;"",WBS!$I41&lt;=L$3+6,WBS!$J41&gt;=L$3),"A",IF(AND(WBS!$F41&lt;=L$3+6,WBS!$G41&gt;=L$3),"X",""))</f>
        <v/>
      </c>
      <c r="M41" s="4" t="str">
        <f aca="false">IF(AND(WBS!$I41&lt;&gt;"",WBS!$I41&lt;=M$3+6,WBS!$J41&gt;=M$3),"A",IF(AND(WBS!$F41&lt;=M$3+6,WBS!$G41&gt;=M$3),"X",""))</f>
        <v/>
      </c>
      <c r="N41" s="4" t="str">
        <f aca="false">IF(AND(WBS!$I41&lt;&gt;"",WBS!$I41&lt;=N$3+6,WBS!$J41&gt;=N$3),"A",IF(AND(WBS!$F41&lt;=N$3+6,WBS!$G41&gt;=N$3),"X",""))</f>
        <v/>
      </c>
      <c r="O41" s="4" t="str">
        <f aca="false">IF(AND(WBS!$I41&lt;&gt;"",WBS!$I41&lt;=O$3+6,WBS!$J41&gt;=O$3),"A",IF(AND(WBS!$F41&lt;=O$3+6,WBS!$G41&gt;=O$3),"X",""))</f>
        <v>X</v>
      </c>
      <c r="P41" s="4" t="str">
        <f aca="false">IF(AND(WBS!$I41&lt;&gt;"",WBS!$I41&lt;=P$3+6,WBS!$J41&gt;=P$3),"A",IF(AND(WBS!$F41&lt;=P$3+6,WBS!$G41&gt;=P$3),"X",""))</f>
        <v/>
      </c>
      <c r="Q41" s="4" t="str">
        <f aca="false">IF(AND(WBS!$I41&lt;&gt;"",WBS!$I41&lt;=Q$3+6,WBS!$J41&gt;=Q$3),"A",IF(AND(WBS!$F41&lt;=Q$3+6,WBS!$G41&gt;=Q$3),"X",""))</f>
        <v/>
      </c>
    </row>
    <row r="42" customFormat="false" ht="15" hidden="false" customHeight="false" outlineLevel="0" collapsed="false">
      <c r="A42" s="4" t="str">
        <f aca="false">WBS!A42</f>
        <v>7.7</v>
      </c>
      <c r="B42" s="5" t="str">
        <f aca="false">WBS!C42</f>
        <v>Loop-breaker sampai label needs-human</v>
      </c>
      <c r="C42" s="4" t="str">
        <f aca="false">WBS!E42</f>
        <v>Selesai</v>
      </c>
      <c r="D42" s="4" t="str">
        <f aca="false">IF(AND(WBS!$I42&lt;&gt;"",WBS!$I42&lt;=D$3+6,WBS!$J42&gt;=D$3),"A",IF(AND(WBS!$F42&lt;=D$3+6,WBS!$G42&gt;=D$3),"X",""))</f>
        <v/>
      </c>
      <c r="E42" s="4" t="str">
        <f aca="false">IF(AND(WBS!$I42&lt;&gt;"",WBS!$I42&lt;=E$3+6,WBS!$J42&gt;=E$3),"A",IF(AND(WBS!$F42&lt;=E$3+6,WBS!$G42&gt;=E$3),"X",""))</f>
        <v/>
      </c>
      <c r="F42" s="4" t="str">
        <f aca="false">IF(AND(WBS!$I42&lt;&gt;"",WBS!$I42&lt;=F$3+6,WBS!$J42&gt;=F$3),"A",IF(AND(WBS!$F42&lt;=F$3+6,WBS!$G42&gt;=F$3),"X",""))</f>
        <v/>
      </c>
      <c r="G42" s="4" t="str">
        <f aca="false">IF(AND(WBS!$I42&lt;&gt;"",WBS!$I42&lt;=G$3+6,WBS!$J42&gt;=G$3),"A",IF(AND(WBS!$F42&lt;=G$3+6,WBS!$G42&gt;=G$3),"X",""))</f>
        <v/>
      </c>
      <c r="H42" s="4" t="str">
        <f aca="false">IF(AND(WBS!$I42&lt;&gt;"",WBS!$I42&lt;=H$3+6,WBS!$J42&gt;=H$3),"A",IF(AND(WBS!$F42&lt;=H$3+6,WBS!$G42&gt;=H$3),"X",""))</f>
        <v/>
      </c>
      <c r="I42" s="4" t="str">
        <f aca="false">IF(AND(WBS!$I42&lt;&gt;"",WBS!$I42&lt;=I$3+6,WBS!$J42&gt;=I$3),"A",IF(AND(WBS!$F42&lt;=I$3+6,WBS!$G42&gt;=I$3),"X",""))</f>
        <v/>
      </c>
      <c r="J42" s="4" t="str">
        <f aca="false">IF(AND(WBS!$I42&lt;&gt;"",WBS!$I42&lt;=J$3+6,WBS!$J42&gt;=J$3),"A",IF(AND(WBS!$F42&lt;=J$3+6,WBS!$G42&gt;=J$3),"X",""))</f>
        <v/>
      </c>
      <c r="K42" s="4" t="str">
        <f aca="false">IF(AND(WBS!$I42&lt;&gt;"",WBS!$I42&lt;=K$3+6,WBS!$J42&gt;=K$3),"A",IF(AND(WBS!$F42&lt;=K$3+6,WBS!$G42&gt;=K$3),"X",""))</f>
        <v/>
      </c>
      <c r="L42" s="4" t="str">
        <f aca="false">IF(AND(WBS!$I42&lt;&gt;"",WBS!$I42&lt;=L$3+6,WBS!$J42&gt;=L$3),"A",IF(AND(WBS!$F42&lt;=L$3+6,WBS!$G42&gt;=L$3),"X",""))</f>
        <v/>
      </c>
      <c r="M42" s="4" t="str">
        <f aca="false">IF(AND(WBS!$I42&lt;&gt;"",WBS!$I42&lt;=M$3+6,WBS!$J42&gt;=M$3),"A",IF(AND(WBS!$F42&lt;=M$3+6,WBS!$G42&gt;=M$3),"X",""))</f>
        <v>A</v>
      </c>
      <c r="N42" s="4" t="str">
        <f aca="false">IF(AND(WBS!$I42&lt;&gt;"",WBS!$I42&lt;=N$3+6,WBS!$J42&gt;=N$3),"A",IF(AND(WBS!$F42&lt;=N$3+6,WBS!$G42&gt;=N$3),"X",""))</f>
        <v/>
      </c>
      <c r="O42" s="4" t="str">
        <f aca="false">IF(AND(WBS!$I42&lt;&gt;"",WBS!$I42&lt;=O$3+6,WBS!$J42&gt;=O$3),"A",IF(AND(WBS!$F42&lt;=O$3+6,WBS!$G42&gt;=O$3),"X",""))</f>
        <v>X</v>
      </c>
      <c r="P42" s="4" t="str">
        <f aca="false">IF(AND(WBS!$I42&lt;&gt;"",WBS!$I42&lt;=P$3+6,WBS!$J42&gt;=P$3),"A",IF(AND(WBS!$F42&lt;=P$3+6,WBS!$G42&gt;=P$3),"X",""))</f>
        <v/>
      </c>
      <c r="Q42" s="4" t="str">
        <f aca="false">IF(AND(WBS!$I42&lt;&gt;"",WBS!$I42&lt;=Q$3+6,WBS!$J42&gt;=Q$3),"A",IF(AND(WBS!$F42&lt;=Q$3+6,WBS!$G42&gt;=Q$3),"X",""))</f>
        <v/>
      </c>
    </row>
    <row r="43" customFormat="false" ht="15" hidden="false" customHeight="false" outlineLevel="0" collapsed="false">
      <c r="A43" s="4" t="str">
        <f aca="false">WBS!A43</f>
        <v>8.1</v>
      </c>
      <c r="B43" s="5" t="str">
        <f aca="false">WBS!C43</f>
        <v>Workflow CI bernama 'CI/CD Pipeline'</v>
      </c>
      <c r="C43" s="4" t="str">
        <f aca="false">WBS!E43</f>
        <v>Opsional</v>
      </c>
      <c r="D43" s="4" t="str">
        <f aca="false">IF(AND(WBS!$I43&lt;&gt;"",WBS!$I43&lt;=D$3+6,WBS!$J43&gt;=D$3),"A",IF(AND(WBS!$F43&lt;=D$3+6,WBS!$G43&gt;=D$3),"X",""))</f>
        <v/>
      </c>
      <c r="E43" s="4" t="str">
        <f aca="false">IF(AND(WBS!$I43&lt;&gt;"",WBS!$I43&lt;=E$3+6,WBS!$J43&gt;=E$3),"A",IF(AND(WBS!$F43&lt;=E$3+6,WBS!$G43&gt;=E$3),"X",""))</f>
        <v/>
      </c>
      <c r="F43" s="4" t="str">
        <f aca="false">IF(AND(WBS!$I43&lt;&gt;"",WBS!$I43&lt;=F$3+6,WBS!$J43&gt;=F$3),"A",IF(AND(WBS!$F43&lt;=F$3+6,WBS!$G43&gt;=F$3),"X",""))</f>
        <v/>
      </c>
      <c r="G43" s="4" t="str">
        <f aca="false">IF(AND(WBS!$I43&lt;&gt;"",WBS!$I43&lt;=G$3+6,WBS!$J43&gt;=G$3),"A",IF(AND(WBS!$F43&lt;=G$3+6,WBS!$G43&gt;=G$3),"X",""))</f>
        <v/>
      </c>
      <c r="H43" s="4" t="str">
        <f aca="false">IF(AND(WBS!$I43&lt;&gt;"",WBS!$I43&lt;=H$3+6,WBS!$J43&gt;=H$3),"A",IF(AND(WBS!$F43&lt;=H$3+6,WBS!$G43&gt;=H$3),"X",""))</f>
        <v/>
      </c>
      <c r="I43" s="4" t="str">
        <f aca="false">IF(AND(WBS!$I43&lt;&gt;"",WBS!$I43&lt;=I$3+6,WBS!$J43&gt;=I$3),"A",IF(AND(WBS!$F43&lt;=I$3+6,WBS!$G43&gt;=I$3),"X",""))</f>
        <v/>
      </c>
      <c r="J43" s="4" t="str">
        <f aca="false">IF(AND(WBS!$I43&lt;&gt;"",WBS!$I43&lt;=J$3+6,WBS!$J43&gt;=J$3),"A",IF(AND(WBS!$F43&lt;=J$3+6,WBS!$G43&gt;=J$3),"X",""))</f>
        <v/>
      </c>
      <c r="K43" s="4" t="str">
        <f aca="false">IF(AND(WBS!$I43&lt;&gt;"",WBS!$I43&lt;=K$3+6,WBS!$J43&gt;=K$3),"A",IF(AND(WBS!$F43&lt;=K$3+6,WBS!$G43&gt;=K$3),"X",""))</f>
        <v/>
      </c>
      <c r="L43" s="4" t="str">
        <f aca="false">IF(AND(WBS!$I43&lt;&gt;"",WBS!$I43&lt;=L$3+6,WBS!$J43&gt;=L$3),"A",IF(AND(WBS!$F43&lt;=L$3+6,WBS!$G43&gt;=L$3),"X",""))</f>
        <v/>
      </c>
      <c r="M43" s="4" t="str">
        <f aca="false">IF(AND(WBS!$I43&lt;&gt;"",WBS!$I43&lt;=M$3+6,WBS!$J43&gt;=M$3),"A",IF(AND(WBS!$F43&lt;=M$3+6,WBS!$G43&gt;=M$3),"X",""))</f>
        <v/>
      </c>
      <c r="N43" s="4" t="str">
        <f aca="false">IF(AND(WBS!$I43&lt;&gt;"",WBS!$I43&lt;=N$3+6,WBS!$J43&gt;=N$3),"A",IF(AND(WBS!$F43&lt;=N$3+6,WBS!$G43&gt;=N$3),"X",""))</f>
        <v/>
      </c>
      <c r="O43" s="4" t="str">
        <f aca="false">IF(AND(WBS!$I43&lt;&gt;"",WBS!$I43&lt;=O$3+6,WBS!$J43&gt;=O$3),"A",IF(AND(WBS!$F43&lt;=O$3+6,WBS!$G43&gt;=O$3),"X",""))</f>
        <v/>
      </c>
      <c r="P43" s="4" t="str">
        <f aca="false">IF(AND(WBS!$I43&lt;&gt;"",WBS!$I43&lt;=P$3+6,WBS!$J43&gt;=P$3),"A",IF(AND(WBS!$F43&lt;=P$3+6,WBS!$G43&gt;=P$3),"X",""))</f>
        <v>X</v>
      </c>
      <c r="Q43" s="4" t="str">
        <f aca="false">IF(AND(WBS!$I43&lt;&gt;"",WBS!$I43&lt;=Q$3+6,WBS!$J43&gt;=Q$3),"A",IF(AND(WBS!$F43&lt;=Q$3+6,WBS!$G43&gt;=Q$3),"X",""))</f>
        <v/>
      </c>
    </row>
    <row r="44" customFormat="false" ht="15" hidden="false" customHeight="false" outlineLevel="0" collapsed="false">
      <c r="A44" s="4" t="str">
        <f aca="false">WBS!A44</f>
        <v>8.2</v>
      </c>
      <c r="B44" s="5" t="str">
        <f aca="false">WBS!C44</f>
        <v>dependency-review</v>
      </c>
      <c r="C44" s="4" t="str">
        <f aca="false">WBS!E44</f>
        <v>Opsional</v>
      </c>
      <c r="D44" s="4" t="str">
        <f aca="false">IF(AND(WBS!$I44&lt;&gt;"",WBS!$I44&lt;=D$3+6,WBS!$J44&gt;=D$3),"A",IF(AND(WBS!$F44&lt;=D$3+6,WBS!$G44&gt;=D$3),"X",""))</f>
        <v/>
      </c>
      <c r="E44" s="4" t="str">
        <f aca="false">IF(AND(WBS!$I44&lt;&gt;"",WBS!$I44&lt;=E$3+6,WBS!$J44&gt;=E$3),"A",IF(AND(WBS!$F44&lt;=E$3+6,WBS!$G44&gt;=E$3),"X",""))</f>
        <v/>
      </c>
      <c r="F44" s="4" t="str">
        <f aca="false">IF(AND(WBS!$I44&lt;&gt;"",WBS!$I44&lt;=F$3+6,WBS!$J44&gt;=F$3),"A",IF(AND(WBS!$F44&lt;=F$3+6,WBS!$G44&gt;=F$3),"X",""))</f>
        <v/>
      </c>
      <c r="G44" s="4" t="str">
        <f aca="false">IF(AND(WBS!$I44&lt;&gt;"",WBS!$I44&lt;=G$3+6,WBS!$J44&gt;=G$3),"A",IF(AND(WBS!$F44&lt;=G$3+6,WBS!$G44&gt;=G$3),"X",""))</f>
        <v/>
      </c>
      <c r="H44" s="4" t="str">
        <f aca="false">IF(AND(WBS!$I44&lt;&gt;"",WBS!$I44&lt;=H$3+6,WBS!$J44&gt;=H$3),"A",IF(AND(WBS!$F44&lt;=H$3+6,WBS!$G44&gt;=H$3),"X",""))</f>
        <v/>
      </c>
      <c r="I44" s="4" t="str">
        <f aca="false">IF(AND(WBS!$I44&lt;&gt;"",WBS!$I44&lt;=I$3+6,WBS!$J44&gt;=I$3),"A",IF(AND(WBS!$F44&lt;=I$3+6,WBS!$G44&gt;=I$3),"X",""))</f>
        <v/>
      </c>
      <c r="J44" s="4" t="str">
        <f aca="false">IF(AND(WBS!$I44&lt;&gt;"",WBS!$I44&lt;=J$3+6,WBS!$J44&gt;=J$3),"A",IF(AND(WBS!$F44&lt;=J$3+6,WBS!$G44&gt;=J$3),"X",""))</f>
        <v/>
      </c>
      <c r="K44" s="4" t="str">
        <f aca="false">IF(AND(WBS!$I44&lt;&gt;"",WBS!$I44&lt;=K$3+6,WBS!$J44&gt;=K$3),"A",IF(AND(WBS!$F44&lt;=K$3+6,WBS!$G44&gt;=K$3),"X",""))</f>
        <v/>
      </c>
      <c r="L44" s="4" t="str">
        <f aca="false">IF(AND(WBS!$I44&lt;&gt;"",WBS!$I44&lt;=L$3+6,WBS!$J44&gt;=L$3),"A",IF(AND(WBS!$F44&lt;=L$3+6,WBS!$G44&gt;=L$3),"X",""))</f>
        <v/>
      </c>
      <c r="M44" s="4" t="str">
        <f aca="false">IF(AND(WBS!$I44&lt;&gt;"",WBS!$I44&lt;=M$3+6,WBS!$J44&gt;=M$3),"A",IF(AND(WBS!$F44&lt;=M$3+6,WBS!$G44&gt;=M$3),"X",""))</f>
        <v/>
      </c>
      <c r="N44" s="4" t="str">
        <f aca="false">IF(AND(WBS!$I44&lt;&gt;"",WBS!$I44&lt;=N$3+6,WBS!$J44&gt;=N$3),"A",IF(AND(WBS!$F44&lt;=N$3+6,WBS!$G44&gt;=N$3),"X",""))</f>
        <v/>
      </c>
      <c r="O44" s="4" t="str">
        <f aca="false">IF(AND(WBS!$I44&lt;&gt;"",WBS!$I44&lt;=O$3+6,WBS!$J44&gt;=O$3),"A",IF(AND(WBS!$F44&lt;=O$3+6,WBS!$G44&gt;=O$3),"X",""))</f>
        <v/>
      </c>
      <c r="P44" s="4" t="str">
        <f aca="false">IF(AND(WBS!$I44&lt;&gt;"",WBS!$I44&lt;=P$3+6,WBS!$J44&gt;=P$3),"A",IF(AND(WBS!$F44&lt;=P$3+6,WBS!$G44&gt;=P$3),"X",""))</f>
        <v>X</v>
      </c>
      <c r="Q44" s="4" t="str">
        <f aca="false">IF(AND(WBS!$I44&lt;&gt;"",WBS!$I44&lt;=Q$3+6,WBS!$J44&gt;=Q$3),"A",IF(AND(WBS!$F44&lt;=Q$3+6,WBS!$G44&gt;=Q$3),"X",""))</f>
        <v/>
      </c>
    </row>
    <row r="45" customFormat="false" ht="15" hidden="false" customHeight="false" outlineLevel="0" collapsed="false">
      <c r="A45" s="4" t="str">
        <f aca="false">WBS!A45</f>
        <v>8.3</v>
      </c>
      <c r="B45" s="5" t="str">
        <f aca="false">WBS!C45</f>
        <v>Runner self-hosted untuk simulasi berat</v>
      </c>
      <c r="C45" s="4" t="str">
        <f aca="false">WBS!E45</f>
        <v>Opsional</v>
      </c>
      <c r="D45" s="4" t="str">
        <f aca="false">IF(AND(WBS!$I45&lt;&gt;"",WBS!$I45&lt;=D$3+6,WBS!$J45&gt;=D$3),"A",IF(AND(WBS!$F45&lt;=D$3+6,WBS!$G45&gt;=D$3),"X",""))</f>
        <v/>
      </c>
      <c r="E45" s="4" t="str">
        <f aca="false">IF(AND(WBS!$I45&lt;&gt;"",WBS!$I45&lt;=E$3+6,WBS!$J45&gt;=E$3),"A",IF(AND(WBS!$F45&lt;=E$3+6,WBS!$G45&gt;=E$3),"X",""))</f>
        <v/>
      </c>
      <c r="F45" s="4" t="str">
        <f aca="false">IF(AND(WBS!$I45&lt;&gt;"",WBS!$I45&lt;=F$3+6,WBS!$J45&gt;=F$3),"A",IF(AND(WBS!$F45&lt;=F$3+6,WBS!$G45&gt;=F$3),"X",""))</f>
        <v/>
      </c>
      <c r="G45" s="4" t="str">
        <f aca="false">IF(AND(WBS!$I45&lt;&gt;"",WBS!$I45&lt;=G$3+6,WBS!$J45&gt;=G$3),"A",IF(AND(WBS!$F45&lt;=G$3+6,WBS!$G45&gt;=G$3),"X",""))</f>
        <v/>
      </c>
      <c r="H45" s="4" t="str">
        <f aca="false">IF(AND(WBS!$I45&lt;&gt;"",WBS!$I45&lt;=H$3+6,WBS!$J45&gt;=H$3),"A",IF(AND(WBS!$F45&lt;=H$3+6,WBS!$G45&gt;=H$3),"X",""))</f>
        <v/>
      </c>
      <c r="I45" s="4" t="str">
        <f aca="false">IF(AND(WBS!$I45&lt;&gt;"",WBS!$I45&lt;=I$3+6,WBS!$J45&gt;=I$3),"A",IF(AND(WBS!$F45&lt;=I$3+6,WBS!$G45&gt;=I$3),"X",""))</f>
        <v/>
      </c>
      <c r="J45" s="4" t="str">
        <f aca="false">IF(AND(WBS!$I45&lt;&gt;"",WBS!$I45&lt;=J$3+6,WBS!$J45&gt;=J$3),"A",IF(AND(WBS!$F45&lt;=J$3+6,WBS!$G45&gt;=J$3),"X",""))</f>
        <v/>
      </c>
      <c r="K45" s="4" t="str">
        <f aca="false">IF(AND(WBS!$I45&lt;&gt;"",WBS!$I45&lt;=K$3+6,WBS!$J45&gt;=K$3),"A",IF(AND(WBS!$F45&lt;=K$3+6,WBS!$G45&gt;=K$3),"X",""))</f>
        <v/>
      </c>
      <c r="L45" s="4" t="str">
        <f aca="false">IF(AND(WBS!$I45&lt;&gt;"",WBS!$I45&lt;=L$3+6,WBS!$J45&gt;=L$3),"A",IF(AND(WBS!$F45&lt;=L$3+6,WBS!$G45&gt;=L$3),"X",""))</f>
        <v/>
      </c>
      <c r="M45" s="4" t="str">
        <f aca="false">IF(AND(WBS!$I45&lt;&gt;"",WBS!$I45&lt;=M$3+6,WBS!$J45&gt;=M$3),"A",IF(AND(WBS!$F45&lt;=M$3+6,WBS!$G45&gt;=M$3),"X",""))</f>
        <v/>
      </c>
      <c r="N45" s="4" t="str">
        <f aca="false">IF(AND(WBS!$I45&lt;&gt;"",WBS!$I45&lt;=N$3+6,WBS!$J45&gt;=N$3),"A",IF(AND(WBS!$F45&lt;=N$3+6,WBS!$G45&gt;=N$3),"X",""))</f>
        <v/>
      </c>
      <c r="O45" s="4" t="str">
        <f aca="false">IF(AND(WBS!$I45&lt;&gt;"",WBS!$I45&lt;=O$3+6,WBS!$J45&gt;=O$3),"A",IF(AND(WBS!$F45&lt;=O$3+6,WBS!$G45&gt;=O$3),"X",""))</f>
        <v/>
      </c>
      <c r="P45" s="4" t="str">
        <f aca="false">IF(AND(WBS!$I45&lt;&gt;"",WBS!$I45&lt;=P$3+6,WBS!$J45&gt;=P$3),"A",IF(AND(WBS!$F45&lt;=P$3+6,WBS!$G45&gt;=P$3),"X",""))</f>
        <v>X</v>
      </c>
      <c r="Q45" s="4" t="str">
        <f aca="false">IF(AND(WBS!$I45&lt;&gt;"",WBS!$I45&lt;=Q$3+6,WBS!$J45&gt;=Q$3),"A",IF(AND(WBS!$F45&lt;=Q$3+6,WBS!$G45&gt;=Q$3),"X",""))</f>
        <v/>
      </c>
    </row>
    <row r="46" customFormat="false" ht="15" hidden="false" customHeight="false" outlineLevel="0" collapsed="false">
      <c r="A46" s="4" t="str">
        <f aca="false">WBS!A46</f>
        <v>8.4</v>
      </c>
      <c r="B46" s="5" t="str">
        <f aca="false">WBS!C46</f>
        <v>Branch protection pada main</v>
      </c>
      <c r="C46" s="4" t="str">
        <f aca="false">WBS!E46</f>
        <v>Opsional</v>
      </c>
      <c r="D46" s="4" t="str">
        <f aca="false">IF(AND(WBS!$I46&lt;&gt;"",WBS!$I46&lt;=D$3+6,WBS!$J46&gt;=D$3),"A",IF(AND(WBS!$F46&lt;=D$3+6,WBS!$G46&gt;=D$3),"X",""))</f>
        <v/>
      </c>
      <c r="E46" s="4" t="str">
        <f aca="false">IF(AND(WBS!$I46&lt;&gt;"",WBS!$I46&lt;=E$3+6,WBS!$J46&gt;=E$3),"A",IF(AND(WBS!$F46&lt;=E$3+6,WBS!$G46&gt;=E$3),"X",""))</f>
        <v/>
      </c>
      <c r="F46" s="4" t="str">
        <f aca="false">IF(AND(WBS!$I46&lt;&gt;"",WBS!$I46&lt;=F$3+6,WBS!$J46&gt;=F$3),"A",IF(AND(WBS!$F46&lt;=F$3+6,WBS!$G46&gt;=F$3),"X",""))</f>
        <v/>
      </c>
      <c r="G46" s="4" t="str">
        <f aca="false">IF(AND(WBS!$I46&lt;&gt;"",WBS!$I46&lt;=G$3+6,WBS!$J46&gt;=G$3),"A",IF(AND(WBS!$F46&lt;=G$3+6,WBS!$G46&gt;=G$3),"X",""))</f>
        <v/>
      </c>
      <c r="H46" s="4" t="str">
        <f aca="false">IF(AND(WBS!$I46&lt;&gt;"",WBS!$I46&lt;=H$3+6,WBS!$J46&gt;=H$3),"A",IF(AND(WBS!$F46&lt;=H$3+6,WBS!$G46&gt;=H$3),"X",""))</f>
        <v/>
      </c>
      <c r="I46" s="4" t="str">
        <f aca="false">IF(AND(WBS!$I46&lt;&gt;"",WBS!$I46&lt;=I$3+6,WBS!$J46&gt;=I$3),"A",IF(AND(WBS!$F46&lt;=I$3+6,WBS!$G46&gt;=I$3),"X",""))</f>
        <v/>
      </c>
      <c r="J46" s="4" t="str">
        <f aca="false">IF(AND(WBS!$I46&lt;&gt;"",WBS!$I46&lt;=J$3+6,WBS!$J46&gt;=J$3),"A",IF(AND(WBS!$F46&lt;=J$3+6,WBS!$G46&gt;=J$3),"X",""))</f>
        <v/>
      </c>
      <c r="K46" s="4" t="str">
        <f aca="false">IF(AND(WBS!$I46&lt;&gt;"",WBS!$I46&lt;=K$3+6,WBS!$J46&gt;=K$3),"A",IF(AND(WBS!$F46&lt;=K$3+6,WBS!$G46&gt;=K$3),"X",""))</f>
        <v/>
      </c>
      <c r="L46" s="4" t="str">
        <f aca="false">IF(AND(WBS!$I46&lt;&gt;"",WBS!$I46&lt;=L$3+6,WBS!$J46&gt;=L$3),"A",IF(AND(WBS!$F46&lt;=L$3+6,WBS!$G46&gt;=L$3),"X",""))</f>
        <v/>
      </c>
      <c r="M46" s="4" t="str">
        <f aca="false">IF(AND(WBS!$I46&lt;&gt;"",WBS!$I46&lt;=M$3+6,WBS!$J46&gt;=M$3),"A",IF(AND(WBS!$F46&lt;=M$3+6,WBS!$G46&gt;=M$3),"X",""))</f>
        <v/>
      </c>
      <c r="N46" s="4" t="str">
        <f aca="false">IF(AND(WBS!$I46&lt;&gt;"",WBS!$I46&lt;=N$3+6,WBS!$J46&gt;=N$3),"A",IF(AND(WBS!$F46&lt;=N$3+6,WBS!$G46&gt;=N$3),"X",""))</f>
        <v/>
      </c>
      <c r="O46" s="4" t="str">
        <f aca="false">IF(AND(WBS!$I46&lt;&gt;"",WBS!$I46&lt;=O$3+6,WBS!$J46&gt;=O$3),"A",IF(AND(WBS!$F46&lt;=O$3+6,WBS!$G46&gt;=O$3),"X",""))</f>
        <v/>
      </c>
      <c r="P46" s="4" t="str">
        <f aca="false">IF(AND(WBS!$I46&lt;&gt;"",WBS!$I46&lt;=P$3+6,WBS!$J46&gt;=P$3),"A",IF(AND(WBS!$F46&lt;=P$3+6,WBS!$G46&gt;=P$3),"X",""))</f>
        <v>X</v>
      </c>
      <c r="Q46" s="4" t="str">
        <f aca="false">IF(AND(WBS!$I46&lt;&gt;"",WBS!$I46&lt;=Q$3+6,WBS!$J46&gt;=Q$3),"A",IF(AND(WBS!$F46&lt;=Q$3+6,WBS!$G46&gt;=Q$3),"X",""))</f>
        <v/>
      </c>
    </row>
    <row r="47" customFormat="false" ht="15" hidden="false" customHeight="false" outlineLevel="0" collapsed="false">
      <c r="A47" s="4" t="str">
        <f aca="false">WBS!A47</f>
        <v>9.1</v>
      </c>
      <c r="B47" s="5" t="str">
        <f aca="false">WBS!C47</f>
        <v>Pisahkan tahap rencana ke agent-plan.yml</v>
      </c>
      <c r="C47" s="4" t="str">
        <f aca="false">WBS!E47</f>
        <v>Selesai</v>
      </c>
      <c r="D47" s="4" t="str">
        <f aca="false">IF(AND(WBS!$I47&lt;&gt;"",WBS!$I47&lt;=D$3+6,WBS!$J47&gt;=D$3),"A",IF(AND(WBS!$F47&lt;=D$3+6,WBS!$G47&gt;=D$3),"X",""))</f>
        <v/>
      </c>
      <c r="E47" s="4" t="str">
        <f aca="false">IF(AND(WBS!$I47&lt;&gt;"",WBS!$I47&lt;=E$3+6,WBS!$J47&gt;=E$3),"A",IF(AND(WBS!$F47&lt;=E$3+6,WBS!$G47&gt;=E$3),"X",""))</f>
        <v/>
      </c>
      <c r="F47" s="4" t="str">
        <f aca="false">IF(AND(WBS!$I47&lt;&gt;"",WBS!$I47&lt;=F$3+6,WBS!$J47&gt;=F$3),"A",IF(AND(WBS!$F47&lt;=F$3+6,WBS!$G47&gt;=F$3),"X",""))</f>
        <v/>
      </c>
      <c r="G47" s="4" t="str">
        <f aca="false">IF(AND(WBS!$I47&lt;&gt;"",WBS!$I47&lt;=G$3+6,WBS!$J47&gt;=G$3),"A",IF(AND(WBS!$F47&lt;=G$3+6,WBS!$G47&gt;=G$3),"X",""))</f>
        <v/>
      </c>
      <c r="H47" s="4" t="str">
        <f aca="false">IF(AND(WBS!$I47&lt;&gt;"",WBS!$I47&lt;=H$3+6,WBS!$J47&gt;=H$3),"A",IF(AND(WBS!$F47&lt;=H$3+6,WBS!$G47&gt;=H$3),"X",""))</f>
        <v/>
      </c>
      <c r="I47" s="4" t="str">
        <f aca="false">IF(AND(WBS!$I47&lt;&gt;"",WBS!$I47&lt;=I$3+6,WBS!$J47&gt;=I$3),"A",IF(AND(WBS!$F47&lt;=I$3+6,WBS!$G47&gt;=I$3),"X",""))</f>
        <v/>
      </c>
      <c r="J47" s="4" t="str">
        <f aca="false">IF(AND(WBS!$I47&lt;&gt;"",WBS!$I47&lt;=J$3+6,WBS!$J47&gt;=J$3),"A",IF(AND(WBS!$F47&lt;=J$3+6,WBS!$G47&gt;=J$3),"X",""))</f>
        <v/>
      </c>
      <c r="K47" s="4" t="str">
        <f aca="false">IF(AND(WBS!$I47&lt;&gt;"",WBS!$I47&lt;=K$3+6,WBS!$J47&gt;=K$3),"A",IF(AND(WBS!$F47&lt;=K$3+6,WBS!$G47&gt;=K$3),"X",""))</f>
        <v/>
      </c>
      <c r="L47" s="4" t="str">
        <f aca="false">IF(AND(WBS!$I47&lt;&gt;"",WBS!$I47&lt;=L$3+6,WBS!$J47&gt;=L$3),"A",IF(AND(WBS!$F47&lt;=L$3+6,WBS!$G47&gt;=L$3),"X",""))</f>
        <v/>
      </c>
      <c r="M47" s="4" t="str">
        <f aca="false">IF(AND(WBS!$I47&lt;&gt;"",WBS!$I47&lt;=M$3+6,WBS!$J47&gt;=M$3),"A",IF(AND(WBS!$F47&lt;=M$3+6,WBS!$G47&gt;=M$3),"X",""))</f>
        <v>A</v>
      </c>
      <c r="N47" s="4" t="str">
        <f aca="false">IF(AND(WBS!$I47&lt;&gt;"",WBS!$I47&lt;=N$3+6,WBS!$J47&gt;=N$3),"A",IF(AND(WBS!$F47&lt;=N$3+6,WBS!$G47&gt;=N$3),"X",""))</f>
        <v/>
      </c>
      <c r="O47" s="4" t="str">
        <f aca="false">IF(AND(WBS!$I47&lt;&gt;"",WBS!$I47&lt;=O$3+6,WBS!$J47&gt;=O$3),"A",IF(AND(WBS!$F47&lt;=O$3+6,WBS!$G47&gt;=O$3),"X",""))</f>
        <v/>
      </c>
      <c r="P47" s="4" t="str">
        <f aca="false">IF(AND(WBS!$I47&lt;&gt;"",WBS!$I47&lt;=P$3+6,WBS!$J47&gt;=P$3),"A",IF(AND(WBS!$F47&lt;=P$3+6,WBS!$G47&gt;=P$3),"X",""))</f>
        <v/>
      </c>
      <c r="Q47" s="4" t="str">
        <f aca="false">IF(AND(WBS!$I47&lt;&gt;"",WBS!$I47&lt;=Q$3+6,WBS!$J47&gt;=Q$3),"A",IF(AND(WBS!$F47&lt;=Q$3+6,WBS!$G47&gt;=Q$3),"X",""))</f>
        <v/>
      </c>
    </row>
    <row r="48" customFormat="false" ht="15" hidden="false" customHeight="false" outlineLevel="0" collapsed="false">
      <c r="A48" s="4" t="str">
        <f aca="false">WBS!A48</f>
        <v>9.2</v>
      </c>
      <c r="B48" s="5" t="str">
        <f aca="false">WBS!C48</f>
        <v>Konfigurasi model lewat repository variables</v>
      </c>
      <c r="C48" s="4" t="str">
        <f aca="false">WBS!E48</f>
        <v>Selesai</v>
      </c>
      <c r="D48" s="4" t="str">
        <f aca="false">IF(AND(WBS!$I48&lt;&gt;"",WBS!$I48&lt;=D$3+6,WBS!$J48&gt;=D$3),"A",IF(AND(WBS!$F48&lt;=D$3+6,WBS!$G48&gt;=D$3),"X",""))</f>
        <v/>
      </c>
      <c r="E48" s="4" t="str">
        <f aca="false">IF(AND(WBS!$I48&lt;&gt;"",WBS!$I48&lt;=E$3+6,WBS!$J48&gt;=E$3),"A",IF(AND(WBS!$F48&lt;=E$3+6,WBS!$G48&gt;=E$3),"X",""))</f>
        <v/>
      </c>
      <c r="F48" s="4" t="str">
        <f aca="false">IF(AND(WBS!$I48&lt;&gt;"",WBS!$I48&lt;=F$3+6,WBS!$J48&gt;=F$3),"A",IF(AND(WBS!$F48&lt;=F$3+6,WBS!$G48&gt;=F$3),"X",""))</f>
        <v/>
      </c>
      <c r="G48" s="4" t="str">
        <f aca="false">IF(AND(WBS!$I48&lt;&gt;"",WBS!$I48&lt;=G$3+6,WBS!$J48&gt;=G$3),"A",IF(AND(WBS!$F48&lt;=G$3+6,WBS!$G48&gt;=G$3),"X",""))</f>
        <v/>
      </c>
      <c r="H48" s="4" t="str">
        <f aca="false">IF(AND(WBS!$I48&lt;&gt;"",WBS!$I48&lt;=H$3+6,WBS!$J48&gt;=H$3),"A",IF(AND(WBS!$F48&lt;=H$3+6,WBS!$G48&gt;=H$3),"X",""))</f>
        <v/>
      </c>
      <c r="I48" s="4" t="str">
        <f aca="false">IF(AND(WBS!$I48&lt;&gt;"",WBS!$I48&lt;=I$3+6,WBS!$J48&gt;=I$3),"A",IF(AND(WBS!$F48&lt;=I$3+6,WBS!$G48&gt;=I$3),"X",""))</f>
        <v/>
      </c>
      <c r="J48" s="4" t="str">
        <f aca="false">IF(AND(WBS!$I48&lt;&gt;"",WBS!$I48&lt;=J$3+6,WBS!$J48&gt;=J$3),"A",IF(AND(WBS!$F48&lt;=J$3+6,WBS!$G48&gt;=J$3),"X",""))</f>
        <v/>
      </c>
      <c r="K48" s="4" t="str">
        <f aca="false">IF(AND(WBS!$I48&lt;&gt;"",WBS!$I48&lt;=K$3+6,WBS!$J48&gt;=K$3),"A",IF(AND(WBS!$F48&lt;=K$3+6,WBS!$G48&gt;=K$3),"X",""))</f>
        <v/>
      </c>
      <c r="L48" s="4" t="str">
        <f aca="false">IF(AND(WBS!$I48&lt;&gt;"",WBS!$I48&lt;=L$3+6,WBS!$J48&gt;=L$3),"A",IF(AND(WBS!$F48&lt;=L$3+6,WBS!$G48&gt;=L$3),"X",""))</f>
        <v/>
      </c>
      <c r="M48" s="4" t="str">
        <f aca="false">IF(AND(WBS!$I48&lt;&gt;"",WBS!$I48&lt;=M$3+6,WBS!$J48&gt;=M$3),"A",IF(AND(WBS!$F48&lt;=M$3+6,WBS!$G48&gt;=M$3),"X",""))</f>
        <v>A</v>
      </c>
      <c r="N48" s="4" t="str">
        <f aca="false">IF(AND(WBS!$I48&lt;&gt;"",WBS!$I48&lt;=N$3+6,WBS!$J48&gt;=N$3),"A",IF(AND(WBS!$F48&lt;=N$3+6,WBS!$G48&gt;=N$3),"X",""))</f>
        <v/>
      </c>
      <c r="O48" s="4" t="str">
        <f aca="false">IF(AND(WBS!$I48&lt;&gt;"",WBS!$I48&lt;=O$3+6,WBS!$J48&gt;=O$3),"A",IF(AND(WBS!$F48&lt;=O$3+6,WBS!$G48&gt;=O$3),"X",""))</f>
        <v/>
      </c>
      <c r="P48" s="4" t="str">
        <f aca="false">IF(AND(WBS!$I48&lt;&gt;"",WBS!$I48&lt;=P$3+6,WBS!$J48&gt;=P$3),"A",IF(AND(WBS!$F48&lt;=P$3+6,WBS!$G48&gt;=P$3),"X",""))</f>
        <v/>
      </c>
      <c r="Q48" s="4" t="str">
        <f aca="false">IF(AND(WBS!$I48&lt;&gt;"",WBS!$I48&lt;=Q$3+6,WBS!$J48&gt;=Q$3),"A",IF(AND(WBS!$F48&lt;=Q$3+6,WBS!$G48&gt;=Q$3),"X",""))</f>
        <v/>
      </c>
    </row>
    <row r="49" customFormat="false" ht="15" hidden="false" customHeight="false" outlineLevel="0" collapsed="false">
      <c r="A49" s="4" t="str">
        <f aca="false">WBS!A49</f>
        <v>9.3</v>
      </c>
      <c r="B49" s="5" t="str">
        <f aca="false">WBS!C49</f>
        <v>Streaming log, batas waktu percobaan, preflight gateway</v>
      </c>
      <c r="C49" s="4" t="str">
        <f aca="false">WBS!E49</f>
        <v>Selesai</v>
      </c>
      <c r="D49" s="4" t="str">
        <f aca="false">IF(AND(WBS!$I49&lt;&gt;"",WBS!$I49&lt;=D$3+6,WBS!$J49&gt;=D$3),"A",IF(AND(WBS!$F49&lt;=D$3+6,WBS!$G49&gt;=D$3),"X",""))</f>
        <v/>
      </c>
      <c r="E49" s="4" t="str">
        <f aca="false">IF(AND(WBS!$I49&lt;&gt;"",WBS!$I49&lt;=E$3+6,WBS!$J49&gt;=E$3),"A",IF(AND(WBS!$F49&lt;=E$3+6,WBS!$G49&gt;=E$3),"X",""))</f>
        <v/>
      </c>
      <c r="F49" s="4" t="str">
        <f aca="false">IF(AND(WBS!$I49&lt;&gt;"",WBS!$I49&lt;=F$3+6,WBS!$J49&gt;=F$3),"A",IF(AND(WBS!$F49&lt;=F$3+6,WBS!$G49&gt;=F$3),"X",""))</f>
        <v/>
      </c>
      <c r="G49" s="4" t="str">
        <f aca="false">IF(AND(WBS!$I49&lt;&gt;"",WBS!$I49&lt;=G$3+6,WBS!$J49&gt;=G$3),"A",IF(AND(WBS!$F49&lt;=G$3+6,WBS!$G49&gt;=G$3),"X",""))</f>
        <v/>
      </c>
      <c r="H49" s="4" t="str">
        <f aca="false">IF(AND(WBS!$I49&lt;&gt;"",WBS!$I49&lt;=H$3+6,WBS!$J49&gt;=H$3),"A",IF(AND(WBS!$F49&lt;=H$3+6,WBS!$G49&gt;=H$3),"X",""))</f>
        <v/>
      </c>
      <c r="I49" s="4" t="str">
        <f aca="false">IF(AND(WBS!$I49&lt;&gt;"",WBS!$I49&lt;=I$3+6,WBS!$J49&gt;=I$3),"A",IF(AND(WBS!$F49&lt;=I$3+6,WBS!$G49&gt;=I$3),"X",""))</f>
        <v/>
      </c>
      <c r="J49" s="4" t="str">
        <f aca="false">IF(AND(WBS!$I49&lt;&gt;"",WBS!$I49&lt;=J$3+6,WBS!$J49&gt;=J$3),"A",IF(AND(WBS!$F49&lt;=J$3+6,WBS!$G49&gt;=J$3),"X",""))</f>
        <v/>
      </c>
      <c r="K49" s="4" t="str">
        <f aca="false">IF(AND(WBS!$I49&lt;&gt;"",WBS!$I49&lt;=K$3+6,WBS!$J49&gt;=K$3),"A",IF(AND(WBS!$F49&lt;=K$3+6,WBS!$G49&gt;=K$3),"X",""))</f>
        <v/>
      </c>
      <c r="L49" s="4" t="str">
        <f aca="false">IF(AND(WBS!$I49&lt;&gt;"",WBS!$I49&lt;=L$3+6,WBS!$J49&gt;=L$3),"A",IF(AND(WBS!$F49&lt;=L$3+6,WBS!$G49&gt;=L$3),"X",""))</f>
        <v/>
      </c>
      <c r="M49" s="4" t="str">
        <f aca="false">IF(AND(WBS!$I49&lt;&gt;"",WBS!$I49&lt;=M$3+6,WBS!$J49&gt;=M$3),"A",IF(AND(WBS!$F49&lt;=M$3+6,WBS!$G49&gt;=M$3),"X",""))</f>
        <v>A</v>
      </c>
      <c r="N49" s="4" t="str">
        <f aca="false">IF(AND(WBS!$I49&lt;&gt;"",WBS!$I49&lt;=N$3+6,WBS!$J49&gt;=N$3),"A",IF(AND(WBS!$F49&lt;=N$3+6,WBS!$G49&gt;=N$3),"X",""))</f>
        <v/>
      </c>
      <c r="O49" s="4" t="str">
        <f aca="false">IF(AND(WBS!$I49&lt;&gt;"",WBS!$I49&lt;=O$3+6,WBS!$J49&gt;=O$3),"A",IF(AND(WBS!$F49&lt;=O$3+6,WBS!$G49&gt;=O$3),"X",""))</f>
        <v/>
      </c>
      <c r="P49" s="4" t="str">
        <f aca="false">IF(AND(WBS!$I49&lt;&gt;"",WBS!$I49&lt;=P$3+6,WBS!$J49&gt;=P$3),"A",IF(AND(WBS!$F49&lt;=P$3+6,WBS!$G49&gt;=P$3),"X",""))</f>
        <v/>
      </c>
      <c r="Q49" s="4" t="str">
        <f aca="false">IF(AND(WBS!$I49&lt;&gt;"",WBS!$I49&lt;=Q$3+6,WBS!$J49&gt;=Q$3),"A",IF(AND(WBS!$F49&lt;=Q$3+6,WBS!$G49&gt;=Q$3),"X",""))</f>
        <v/>
      </c>
    </row>
    <row r="50" customFormat="false" ht="15" hidden="false" customHeight="false" outlineLevel="0" collapsed="false">
      <c r="A50" s="4" t="str">
        <f aca="false">WBS!A50</f>
        <v>9.4</v>
      </c>
      <c r="B50" s="5" t="str">
        <f aca="false">WBS!C50</f>
        <v>Selaraskan preflight dengan konfigurasi tanpa fallback</v>
      </c>
      <c r="C50" s="4" t="str">
        <f aca="false">WBS!E50</f>
        <v>Selesai</v>
      </c>
      <c r="D50" s="4" t="str">
        <f aca="false">IF(AND(WBS!$I50&lt;&gt;"",WBS!$I50&lt;=D$3+6,WBS!$J50&gt;=D$3),"A",IF(AND(WBS!$F50&lt;=D$3+6,WBS!$G50&gt;=D$3),"X",""))</f>
        <v/>
      </c>
      <c r="E50" s="4" t="str">
        <f aca="false">IF(AND(WBS!$I50&lt;&gt;"",WBS!$I50&lt;=E$3+6,WBS!$J50&gt;=E$3),"A",IF(AND(WBS!$F50&lt;=E$3+6,WBS!$G50&gt;=E$3),"X",""))</f>
        <v/>
      </c>
      <c r="F50" s="4" t="str">
        <f aca="false">IF(AND(WBS!$I50&lt;&gt;"",WBS!$I50&lt;=F$3+6,WBS!$J50&gt;=F$3),"A",IF(AND(WBS!$F50&lt;=F$3+6,WBS!$G50&gt;=F$3),"X",""))</f>
        <v/>
      </c>
      <c r="G50" s="4" t="str">
        <f aca="false">IF(AND(WBS!$I50&lt;&gt;"",WBS!$I50&lt;=G$3+6,WBS!$J50&gt;=G$3),"A",IF(AND(WBS!$F50&lt;=G$3+6,WBS!$G50&gt;=G$3),"X",""))</f>
        <v/>
      </c>
      <c r="H50" s="4" t="str">
        <f aca="false">IF(AND(WBS!$I50&lt;&gt;"",WBS!$I50&lt;=H$3+6,WBS!$J50&gt;=H$3),"A",IF(AND(WBS!$F50&lt;=H$3+6,WBS!$G50&gt;=H$3),"X",""))</f>
        <v/>
      </c>
      <c r="I50" s="4" t="str">
        <f aca="false">IF(AND(WBS!$I50&lt;&gt;"",WBS!$I50&lt;=I$3+6,WBS!$J50&gt;=I$3),"A",IF(AND(WBS!$F50&lt;=I$3+6,WBS!$G50&gt;=I$3),"X",""))</f>
        <v/>
      </c>
      <c r="J50" s="4" t="str">
        <f aca="false">IF(AND(WBS!$I50&lt;&gt;"",WBS!$I50&lt;=J$3+6,WBS!$J50&gt;=J$3),"A",IF(AND(WBS!$F50&lt;=J$3+6,WBS!$G50&gt;=J$3),"X",""))</f>
        <v/>
      </c>
      <c r="K50" s="4" t="str">
        <f aca="false">IF(AND(WBS!$I50&lt;&gt;"",WBS!$I50&lt;=K$3+6,WBS!$J50&gt;=K$3),"A",IF(AND(WBS!$F50&lt;=K$3+6,WBS!$G50&gt;=K$3),"X",""))</f>
        <v/>
      </c>
      <c r="L50" s="4" t="str">
        <f aca="false">IF(AND(WBS!$I50&lt;&gt;"",WBS!$I50&lt;=L$3+6,WBS!$J50&gt;=L$3),"A",IF(AND(WBS!$F50&lt;=L$3+6,WBS!$G50&gt;=L$3),"X",""))</f>
        <v/>
      </c>
      <c r="M50" s="4" t="str">
        <f aca="false">IF(AND(WBS!$I50&lt;&gt;"",WBS!$I50&lt;=M$3+6,WBS!$J50&gt;=M$3),"A",IF(AND(WBS!$F50&lt;=M$3+6,WBS!$G50&gt;=M$3),"X",""))</f>
        <v>A</v>
      </c>
      <c r="N50" s="4" t="str">
        <f aca="false">IF(AND(WBS!$I50&lt;&gt;"",WBS!$I50&lt;=N$3+6,WBS!$J50&gt;=N$3),"A",IF(AND(WBS!$F50&lt;=N$3+6,WBS!$G50&gt;=N$3),"X",""))</f>
        <v/>
      </c>
      <c r="O50" s="4" t="str">
        <f aca="false">IF(AND(WBS!$I50&lt;&gt;"",WBS!$I50&lt;=O$3+6,WBS!$J50&gt;=O$3),"A",IF(AND(WBS!$F50&lt;=O$3+6,WBS!$G50&gt;=O$3),"X",""))</f>
        <v/>
      </c>
      <c r="P50" s="4" t="str">
        <f aca="false">IF(AND(WBS!$I50&lt;&gt;"",WBS!$I50&lt;=P$3+6,WBS!$J50&gt;=P$3),"A",IF(AND(WBS!$F50&lt;=P$3+6,WBS!$G50&gt;=P$3),"X",""))</f>
        <v/>
      </c>
      <c r="Q50" s="4" t="str">
        <f aca="false">IF(AND(WBS!$I50&lt;&gt;"",WBS!$I50&lt;=Q$3+6,WBS!$J50&gt;=Q$3),"A",IF(AND(WBS!$F50&lt;=Q$3+6,WBS!$G50&gt;=Q$3),"X",""))</f>
        <v/>
      </c>
    </row>
    <row r="51" customFormat="false" ht="15" hidden="false" customHeight="false" outlineLevel="0" collapsed="false">
      <c r="A51" s="4" t="str">
        <f aca="false">WBS!A51</f>
        <v>9.5</v>
      </c>
      <c r="B51" s="5" t="str">
        <f aca="false">WBS!C51</f>
        <v>Seragamkan token agent-fix ke CODE_API_KEY</v>
      </c>
      <c r="C51" s="4" t="str">
        <f aca="false">WBS!E51</f>
        <v>Selesai</v>
      </c>
      <c r="D51" s="4" t="str">
        <f aca="false">IF(AND(WBS!$I51&lt;&gt;"",WBS!$I51&lt;=D$3+6,WBS!$J51&gt;=D$3),"A",IF(AND(WBS!$F51&lt;=D$3+6,WBS!$G51&gt;=D$3),"X",""))</f>
        <v/>
      </c>
      <c r="E51" s="4" t="str">
        <f aca="false">IF(AND(WBS!$I51&lt;&gt;"",WBS!$I51&lt;=E$3+6,WBS!$J51&gt;=E$3),"A",IF(AND(WBS!$F51&lt;=E$3+6,WBS!$G51&gt;=E$3),"X",""))</f>
        <v/>
      </c>
      <c r="F51" s="4" t="str">
        <f aca="false">IF(AND(WBS!$I51&lt;&gt;"",WBS!$I51&lt;=F$3+6,WBS!$J51&gt;=F$3),"A",IF(AND(WBS!$F51&lt;=F$3+6,WBS!$G51&gt;=F$3),"X",""))</f>
        <v/>
      </c>
      <c r="G51" s="4" t="str">
        <f aca="false">IF(AND(WBS!$I51&lt;&gt;"",WBS!$I51&lt;=G$3+6,WBS!$J51&gt;=G$3),"A",IF(AND(WBS!$F51&lt;=G$3+6,WBS!$G51&gt;=G$3),"X",""))</f>
        <v/>
      </c>
      <c r="H51" s="4" t="str">
        <f aca="false">IF(AND(WBS!$I51&lt;&gt;"",WBS!$I51&lt;=H$3+6,WBS!$J51&gt;=H$3),"A",IF(AND(WBS!$F51&lt;=H$3+6,WBS!$G51&gt;=H$3),"X",""))</f>
        <v/>
      </c>
      <c r="I51" s="4" t="str">
        <f aca="false">IF(AND(WBS!$I51&lt;&gt;"",WBS!$I51&lt;=I$3+6,WBS!$J51&gt;=I$3),"A",IF(AND(WBS!$F51&lt;=I$3+6,WBS!$G51&gt;=I$3),"X",""))</f>
        <v/>
      </c>
      <c r="J51" s="4" t="str">
        <f aca="false">IF(AND(WBS!$I51&lt;&gt;"",WBS!$I51&lt;=J$3+6,WBS!$J51&gt;=J$3),"A",IF(AND(WBS!$F51&lt;=J$3+6,WBS!$G51&gt;=J$3),"X",""))</f>
        <v/>
      </c>
      <c r="K51" s="4" t="str">
        <f aca="false">IF(AND(WBS!$I51&lt;&gt;"",WBS!$I51&lt;=K$3+6,WBS!$J51&gt;=K$3),"A",IF(AND(WBS!$F51&lt;=K$3+6,WBS!$G51&gt;=K$3),"X",""))</f>
        <v/>
      </c>
      <c r="L51" s="4" t="str">
        <f aca="false">IF(AND(WBS!$I51&lt;&gt;"",WBS!$I51&lt;=L$3+6,WBS!$J51&gt;=L$3),"A",IF(AND(WBS!$F51&lt;=L$3+6,WBS!$G51&gt;=L$3),"X",""))</f>
        <v/>
      </c>
      <c r="M51" s="4" t="str">
        <f aca="false">IF(AND(WBS!$I51&lt;&gt;"",WBS!$I51&lt;=M$3+6,WBS!$J51&gt;=M$3),"A",IF(AND(WBS!$F51&lt;=M$3+6,WBS!$G51&gt;=M$3),"X",""))</f>
        <v>A</v>
      </c>
      <c r="N51" s="4" t="str">
        <f aca="false">IF(AND(WBS!$I51&lt;&gt;"",WBS!$I51&lt;=N$3+6,WBS!$J51&gt;=N$3),"A",IF(AND(WBS!$F51&lt;=N$3+6,WBS!$G51&gt;=N$3),"X",""))</f>
        <v/>
      </c>
      <c r="O51" s="4" t="str">
        <f aca="false">IF(AND(WBS!$I51&lt;&gt;"",WBS!$I51&lt;=O$3+6,WBS!$J51&gt;=O$3),"A",IF(AND(WBS!$F51&lt;=O$3+6,WBS!$G51&gt;=O$3),"X",""))</f>
        <v/>
      </c>
      <c r="P51" s="4" t="str">
        <f aca="false">IF(AND(WBS!$I51&lt;&gt;"",WBS!$I51&lt;=P$3+6,WBS!$J51&gt;=P$3),"A",IF(AND(WBS!$F51&lt;=P$3+6,WBS!$G51&gt;=P$3),"X",""))</f>
        <v/>
      </c>
      <c r="Q51" s="4" t="str">
        <f aca="false">IF(AND(WBS!$I51&lt;&gt;"",WBS!$I51&lt;=Q$3+6,WBS!$J51&gt;=Q$3),"A",IF(AND(WBS!$F51&lt;=Q$3+6,WBS!$G51&gt;=Q$3),"X",""))</f>
        <v/>
      </c>
    </row>
    <row r="52" customFormat="false" ht="15" hidden="false" customHeight="false" outlineLevel="0" collapsed="false">
      <c r="A52" s="4" t="str">
        <f aca="false">WBS!A52</f>
        <v>9.6</v>
      </c>
      <c r="B52" s="5" t="str">
        <f aca="false">WBS!C52</f>
        <v>Perbaikan gateway Cloudflare 524</v>
      </c>
      <c r="C52" s="4" t="str">
        <f aca="false">WBS!E52</f>
        <v>Selesai</v>
      </c>
      <c r="D52" s="4" t="str">
        <f aca="false">IF(AND(WBS!$I52&lt;&gt;"",WBS!$I52&lt;=D$3+6,WBS!$J52&gt;=D$3),"A",IF(AND(WBS!$F52&lt;=D$3+6,WBS!$G52&gt;=D$3),"X",""))</f>
        <v/>
      </c>
      <c r="E52" s="4" t="str">
        <f aca="false">IF(AND(WBS!$I52&lt;&gt;"",WBS!$I52&lt;=E$3+6,WBS!$J52&gt;=E$3),"A",IF(AND(WBS!$F52&lt;=E$3+6,WBS!$G52&gt;=E$3),"X",""))</f>
        <v/>
      </c>
      <c r="F52" s="4" t="str">
        <f aca="false">IF(AND(WBS!$I52&lt;&gt;"",WBS!$I52&lt;=F$3+6,WBS!$J52&gt;=F$3),"A",IF(AND(WBS!$F52&lt;=F$3+6,WBS!$G52&gt;=F$3),"X",""))</f>
        <v/>
      </c>
      <c r="G52" s="4" t="str">
        <f aca="false">IF(AND(WBS!$I52&lt;&gt;"",WBS!$I52&lt;=G$3+6,WBS!$J52&gt;=G$3),"A",IF(AND(WBS!$F52&lt;=G$3+6,WBS!$G52&gt;=G$3),"X",""))</f>
        <v/>
      </c>
      <c r="H52" s="4" t="str">
        <f aca="false">IF(AND(WBS!$I52&lt;&gt;"",WBS!$I52&lt;=H$3+6,WBS!$J52&gt;=H$3),"A",IF(AND(WBS!$F52&lt;=H$3+6,WBS!$G52&gt;=H$3),"X",""))</f>
        <v/>
      </c>
      <c r="I52" s="4" t="str">
        <f aca="false">IF(AND(WBS!$I52&lt;&gt;"",WBS!$I52&lt;=I$3+6,WBS!$J52&gt;=I$3),"A",IF(AND(WBS!$F52&lt;=I$3+6,WBS!$G52&gt;=I$3),"X",""))</f>
        <v/>
      </c>
      <c r="J52" s="4" t="str">
        <f aca="false">IF(AND(WBS!$I52&lt;&gt;"",WBS!$I52&lt;=J$3+6,WBS!$J52&gt;=J$3),"A",IF(AND(WBS!$F52&lt;=J$3+6,WBS!$G52&gt;=J$3),"X",""))</f>
        <v/>
      </c>
      <c r="K52" s="4" t="str">
        <f aca="false">IF(AND(WBS!$I52&lt;&gt;"",WBS!$I52&lt;=K$3+6,WBS!$J52&gt;=K$3),"A",IF(AND(WBS!$F52&lt;=K$3+6,WBS!$G52&gt;=K$3),"X",""))</f>
        <v/>
      </c>
      <c r="L52" s="4" t="str">
        <f aca="false">IF(AND(WBS!$I52&lt;&gt;"",WBS!$I52&lt;=L$3+6,WBS!$J52&gt;=L$3),"A",IF(AND(WBS!$F52&lt;=L$3+6,WBS!$G52&gt;=L$3),"X",""))</f>
        <v/>
      </c>
      <c r="M52" s="4" t="str">
        <f aca="false">IF(AND(WBS!$I52&lt;&gt;"",WBS!$I52&lt;=M$3+6,WBS!$J52&gt;=M$3),"A",IF(AND(WBS!$F52&lt;=M$3+6,WBS!$G52&gt;=M$3),"X",""))</f>
        <v>A</v>
      </c>
      <c r="N52" s="4" t="str">
        <f aca="false">IF(AND(WBS!$I52&lt;&gt;"",WBS!$I52&lt;=N$3+6,WBS!$J52&gt;=N$3),"A",IF(AND(WBS!$F52&lt;=N$3+6,WBS!$G52&gt;=N$3),"X",""))</f>
        <v/>
      </c>
      <c r="O52" s="4" t="str">
        <f aca="false">IF(AND(WBS!$I52&lt;&gt;"",WBS!$I52&lt;=O$3+6,WBS!$J52&gt;=O$3),"A",IF(AND(WBS!$F52&lt;=O$3+6,WBS!$G52&gt;=O$3),"X",""))</f>
        <v/>
      </c>
      <c r="P52" s="4" t="str">
        <f aca="false">IF(AND(WBS!$I52&lt;&gt;"",WBS!$I52&lt;=P$3+6,WBS!$J52&gt;=P$3),"A",IF(AND(WBS!$F52&lt;=P$3+6,WBS!$G52&gt;=P$3),"X",""))</f>
        <v/>
      </c>
      <c r="Q52" s="4" t="str">
        <f aca="false">IF(AND(WBS!$I52&lt;&gt;"",WBS!$I52&lt;=Q$3+6,WBS!$J52&gt;=Q$3),"A",IF(AND(WBS!$F52&lt;=Q$3+6,WBS!$G52&gt;=Q$3),"X",""))</f>
        <v/>
      </c>
    </row>
    <row r="53" customFormat="false" ht="15" hidden="false" customHeight="false" outlineLevel="0" collapsed="false">
      <c r="A53" s="4" t="str">
        <f aca="false">WBS!A53</f>
        <v>9.7</v>
      </c>
      <c r="B53" s="5" t="str">
        <f aca="false">WBS!C53</f>
        <v>Laporkan penyebab kegagalan sebenarnya</v>
      </c>
      <c r="C53" s="4" t="str">
        <f aca="false">WBS!E53</f>
        <v>Selesai</v>
      </c>
      <c r="D53" s="4" t="str">
        <f aca="false">IF(AND(WBS!$I53&lt;&gt;"",WBS!$I53&lt;=D$3+6,WBS!$J53&gt;=D$3),"A",IF(AND(WBS!$F53&lt;=D$3+6,WBS!$G53&gt;=D$3),"X",""))</f>
        <v/>
      </c>
      <c r="E53" s="4" t="str">
        <f aca="false">IF(AND(WBS!$I53&lt;&gt;"",WBS!$I53&lt;=E$3+6,WBS!$J53&gt;=E$3),"A",IF(AND(WBS!$F53&lt;=E$3+6,WBS!$G53&gt;=E$3),"X",""))</f>
        <v/>
      </c>
      <c r="F53" s="4" t="str">
        <f aca="false">IF(AND(WBS!$I53&lt;&gt;"",WBS!$I53&lt;=F$3+6,WBS!$J53&gt;=F$3),"A",IF(AND(WBS!$F53&lt;=F$3+6,WBS!$G53&gt;=F$3),"X",""))</f>
        <v/>
      </c>
      <c r="G53" s="4" t="str">
        <f aca="false">IF(AND(WBS!$I53&lt;&gt;"",WBS!$I53&lt;=G$3+6,WBS!$J53&gt;=G$3),"A",IF(AND(WBS!$F53&lt;=G$3+6,WBS!$G53&gt;=G$3),"X",""))</f>
        <v/>
      </c>
      <c r="H53" s="4" t="str">
        <f aca="false">IF(AND(WBS!$I53&lt;&gt;"",WBS!$I53&lt;=H$3+6,WBS!$J53&gt;=H$3),"A",IF(AND(WBS!$F53&lt;=H$3+6,WBS!$G53&gt;=H$3),"X",""))</f>
        <v/>
      </c>
      <c r="I53" s="4" t="str">
        <f aca="false">IF(AND(WBS!$I53&lt;&gt;"",WBS!$I53&lt;=I$3+6,WBS!$J53&gt;=I$3),"A",IF(AND(WBS!$F53&lt;=I$3+6,WBS!$G53&gt;=I$3),"X",""))</f>
        <v/>
      </c>
      <c r="J53" s="4" t="str">
        <f aca="false">IF(AND(WBS!$I53&lt;&gt;"",WBS!$I53&lt;=J$3+6,WBS!$J53&gt;=J$3),"A",IF(AND(WBS!$F53&lt;=J$3+6,WBS!$G53&gt;=J$3),"X",""))</f>
        <v/>
      </c>
      <c r="K53" s="4" t="str">
        <f aca="false">IF(AND(WBS!$I53&lt;&gt;"",WBS!$I53&lt;=K$3+6,WBS!$J53&gt;=K$3),"A",IF(AND(WBS!$F53&lt;=K$3+6,WBS!$G53&gt;=K$3),"X",""))</f>
        <v/>
      </c>
      <c r="L53" s="4" t="str">
        <f aca="false">IF(AND(WBS!$I53&lt;&gt;"",WBS!$I53&lt;=L$3+6,WBS!$J53&gt;=L$3),"A",IF(AND(WBS!$F53&lt;=L$3+6,WBS!$G53&gt;=L$3),"X",""))</f>
        <v/>
      </c>
      <c r="M53" s="4" t="str">
        <f aca="false">IF(AND(WBS!$I53&lt;&gt;"",WBS!$I53&lt;=M$3+6,WBS!$J53&gt;=M$3),"A",IF(AND(WBS!$F53&lt;=M$3+6,WBS!$G53&gt;=M$3),"X",""))</f>
        <v>A</v>
      </c>
      <c r="N53" s="4" t="str">
        <f aca="false">IF(AND(WBS!$I53&lt;&gt;"",WBS!$I53&lt;=N$3+6,WBS!$J53&gt;=N$3),"A",IF(AND(WBS!$F53&lt;=N$3+6,WBS!$G53&gt;=N$3),"X",""))</f>
        <v/>
      </c>
      <c r="O53" s="4" t="str">
        <f aca="false">IF(AND(WBS!$I53&lt;&gt;"",WBS!$I53&lt;=O$3+6,WBS!$J53&gt;=O$3),"A",IF(AND(WBS!$F53&lt;=O$3+6,WBS!$G53&gt;=O$3),"X",""))</f>
        <v/>
      </c>
      <c r="P53" s="4" t="str">
        <f aca="false">IF(AND(WBS!$I53&lt;&gt;"",WBS!$I53&lt;=P$3+6,WBS!$J53&gt;=P$3),"A",IF(AND(WBS!$F53&lt;=P$3+6,WBS!$G53&gt;=P$3),"X",""))</f>
        <v/>
      </c>
      <c r="Q53" s="4" t="str">
        <f aca="false">IF(AND(WBS!$I53&lt;&gt;"",WBS!$I53&lt;=Q$3+6,WBS!$J53&gt;=Q$3),"A",IF(AND(WBS!$F53&lt;=Q$3+6,WBS!$G53&gt;=Q$3),"X",""))</f>
        <v/>
      </c>
    </row>
    <row r="54" customFormat="false" ht="15" hidden="false" customHeight="false" outlineLevel="0" collapsed="false">
      <c r="A54" s="4" t="str">
        <f aca="false">WBS!A54</f>
        <v>9.8</v>
      </c>
      <c r="B54" s="5" t="str">
        <f aca="false">WBS!C54</f>
        <v>Empat cacat dari siklus penuh pertama</v>
      </c>
      <c r="C54" s="4" t="str">
        <f aca="false">WBS!E54</f>
        <v>Selesai</v>
      </c>
      <c r="D54" s="4" t="str">
        <f aca="false">IF(AND(WBS!$I54&lt;&gt;"",WBS!$I54&lt;=D$3+6,WBS!$J54&gt;=D$3),"A",IF(AND(WBS!$F54&lt;=D$3+6,WBS!$G54&gt;=D$3),"X",""))</f>
        <v/>
      </c>
      <c r="E54" s="4" t="str">
        <f aca="false">IF(AND(WBS!$I54&lt;&gt;"",WBS!$I54&lt;=E$3+6,WBS!$J54&gt;=E$3),"A",IF(AND(WBS!$F54&lt;=E$3+6,WBS!$G54&gt;=E$3),"X",""))</f>
        <v/>
      </c>
      <c r="F54" s="4" t="str">
        <f aca="false">IF(AND(WBS!$I54&lt;&gt;"",WBS!$I54&lt;=F$3+6,WBS!$J54&gt;=F$3),"A",IF(AND(WBS!$F54&lt;=F$3+6,WBS!$G54&gt;=F$3),"X",""))</f>
        <v/>
      </c>
      <c r="G54" s="4" t="str">
        <f aca="false">IF(AND(WBS!$I54&lt;&gt;"",WBS!$I54&lt;=G$3+6,WBS!$J54&gt;=G$3),"A",IF(AND(WBS!$F54&lt;=G$3+6,WBS!$G54&gt;=G$3),"X",""))</f>
        <v/>
      </c>
      <c r="H54" s="4" t="str">
        <f aca="false">IF(AND(WBS!$I54&lt;&gt;"",WBS!$I54&lt;=H$3+6,WBS!$J54&gt;=H$3),"A",IF(AND(WBS!$F54&lt;=H$3+6,WBS!$G54&gt;=H$3),"X",""))</f>
        <v/>
      </c>
      <c r="I54" s="4" t="str">
        <f aca="false">IF(AND(WBS!$I54&lt;&gt;"",WBS!$I54&lt;=I$3+6,WBS!$J54&gt;=I$3),"A",IF(AND(WBS!$F54&lt;=I$3+6,WBS!$G54&gt;=I$3),"X",""))</f>
        <v/>
      </c>
      <c r="J54" s="4" t="str">
        <f aca="false">IF(AND(WBS!$I54&lt;&gt;"",WBS!$I54&lt;=J$3+6,WBS!$J54&gt;=J$3),"A",IF(AND(WBS!$F54&lt;=J$3+6,WBS!$G54&gt;=J$3),"X",""))</f>
        <v/>
      </c>
      <c r="K54" s="4" t="str">
        <f aca="false">IF(AND(WBS!$I54&lt;&gt;"",WBS!$I54&lt;=K$3+6,WBS!$J54&gt;=K$3),"A",IF(AND(WBS!$F54&lt;=K$3+6,WBS!$G54&gt;=K$3),"X",""))</f>
        <v/>
      </c>
      <c r="L54" s="4" t="str">
        <f aca="false">IF(AND(WBS!$I54&lt;&gt;"",WBS!$I54&lt;=L$3+6,WBS!$J54&gt;=L$3),"A",IF(AND(WBS!$F54&lt;=L$3+6,WBS!$G54&gt;=L$3),"X",""))</f>
        <v/>
      </c>
      <c r="M54" s="4" t="str">
        <f aca="false">IF(AND(WBS!$I54&lt;&gt;"",WBS!$I54&lt;=M$3+6,WBS!$J54&gt;=M$3),"A",IF(AND(WBS!$F54&lt;=M$3+6,WBS!$G54&gt;=M$3),"X",""))</f>
        <v>A</v>
      </c>
      <c r="N54" s="4" t="str">
        <f aca="false">IF(AND(WBS!$I54&lt;&gt;"",WBS!$I54&lt;=N$3+6,WBS!$J54&gt;=N$3),"A",IF(AND(WBS!$F54&lt;=N$3+6,WBS!$G54&gt;=N$3),"X",""))</f>
        <v/>
      </c>
      <c r="O54" s="4" t="str">
        <f aca="false">IF(AND(WBS!$I54&lt;&gt;"",WBS!$I54&lt;=O$3+6,WBS!$J54&gt;=O$3),"A",IF(AND(WBS!$F54&lt;=O$3+6,WBS!$G54&gt;=O$3),"X",""))</f>
        <v/>
      </c>
      <c r="P54" s="4" t="str">
        <f aca="false">IF(AND(WBS!$I54&lt;&gt;"",WBS!$I54&lt;=P$3+6,WBS!$J54&gt;=P$3),"A",IF(AND(WBS!$F54&lt;=P$3+6,WBS!$G54&gt;=P$3),"X",""))</f>
        <v/>
      </c>
      <c r="Q54" s="4" t="str">
        <f aca="false">IF(AND(WBS!$I54&lt;&gt;"",WBS!$I54&lt;=Q$3+6,WBS!$J54&gt;=Q$3),"A",IF(AND(WBS!$F54&lt;=Q$3+6,WBS!$G54&gt;=Q$3),"X",""))</f>
        <v/>
      </c>
    </row>
    <row r="55" customFormat="false" ht="15" hidden="false" customHeight="false" outlineLevel="0" collapsed="false">
      <c r="A55" s="4" t="str">
        <f aca="false">WBS!A55</f>
        <v>9.9</v>
      </c>
      <c r="B55" s="5" t="str">
        <f aca="false">WBS!C55</f>
        <v>Pulihkan circuit breaker dan footer commit</v>
      </c>
      <c r="C55" s="4" t="str">
        <f aca="false">WBS!E55</f>
        <v>Selesai</v>
      </c>
      <c r="D55" s="4" t="str">
        <f aca="false">IF(AND(WBS!$I55&lt;&gt;"",WBS!$I55&lt;=D$3+6,WBS!$J55&gt;=D$3),"A",IF(AND(WBS!$F55&lt;=D$3+6,WBS!$G55&gt;=D$3),"X",""))</f>
        <v/>
      </c>
      <c r="E55" s="4" t="str">
        <f aca="false">IF(AND(WBS!$I55&lt;&gt;"",WBS!$I55&lt;=E$3+6,WBS!$J55&gt;=E$3),"A",IF(AND(WBS!$F55&lt;=E$3+6,WBS!$G55&gt;=E$3),"X",""))</f>
        <v/>
      </c>
      <c r="F55" s="4" t="str">
        <f aca="false">IF(AND(WBS!$I55&lt;&gt;"",WBS!$I55&lt;=F$3+6,WBS!$J55&gt;=F$3),"A",IF(AND(WBS!$F55&lt;=F$3+6,WBS!$G55&gt;=F$3),"X",""))</f>
        <v/>
      </c>
      <c r="G55" s="4" t="str">
        <f aca="false">IF(AND(WBS!$I55&lt;&gt;"",WBS!$I55&lt;=G$3+6,WBS!$J55&gt;=G$3),"A",IF(AND(WBS!$F55&lt;=G$3+6,WBS!$G55&gt;=G$3),"X",""))</f>
        <v/>
      </c>
      <c r="H55" s="4" t="str">
        <f aca="false">IF(AND(WBS!$I55&lt;&gt;"",WBS!$I55&lt;=H$3+6,WBS!$J55&gt;=H$3),"A",IF(AND(WBS!$F55&lt;=H$3+6,WBS!$G55&gt;=H$3),"X",""))</f>
        <v/>
      </c>
      <c r="I55" s="4" t="str">
        <f aca="false">IF(AND(WBS!$I55&lt;&gt;"",WBS!$I55&lt;=I$3+6,WBS!$J55&gt;=I$3),"A",IF(AND(WBS!$F55&lt;=I$3+6,WBS!$G55&gt;=I$3),"X",""))</f>
        <v/>
      </c>
      <c r="J55" s="4" t="str">
        <f aca="false">IF(AND(WBS!$I55&lt;&gt;"",WBS!$I55&lt;=J$3+6,WBS!$J55&gt;=J$3),"A",IF(AND(WBS!$F55&lt;=J$3+6,WBS!$G55&gt;=J$3),"X",""))</f>
        <v/>
      </c>
      <c r="K55" s="4" t="str">
        <f aca="false">IF(AND(WBS!$I55&lt;&gt;"",WBS!$I55&lt;=K$3+6,WBS!$J55&gt;=K$3),"A",IF(AND(WBS!$F55&lt;=K$3+6,WBS!$G55&gt;=K$3),"X",""))</f>
        <v/>
      </c>
      <c r="L55" s="4" t="str">
        <f aca="false">IF(AND(WBS!$I55&lt;&gt;"",WBS!$I55&lt;=L$3+6,WBS!$J55&gt;=L$3),"A",IF(AND(WBS!$F55&lt;=L$3+6,WBS!$G55&gt;=L$3),"X",""))</f>
        <v/>
      </c>
      <c r="M55" s="4" t="str">
        <f aca="false">IF(AND(WBS!$I55&lt;&gt;"",WBS!$I55&lt;=M$3+6,WBS!$J55&gt;=M$3),"A",IF(AND(WBS!$F55&lt;=M$3+6,WBS!$G55&gt;=M$3),"X",""))</f>
        <v>A</v>
      </c>
      <c r="N55" s="4" t="str">
        <f aca="false">IF(AND(WBS!$I55&lt;&gt;"",WBS!$I55&lt;=N$3+6,WBS!$J55&gt;=N$3),"A",IF(AND(WBS!$F55&lt;=N$3+6,WBS!$G55&gt;=N$3),"X",""))</f>
        <v/>
      </c>
      <c r="O55" s="4" t="str">
        <f aca="false">IF(AND(WBS!$I55&lt;&gt;"",WBS!$I55&lt;=O$3+6,WBS!$J55&gt;=O$3),"A",IF(AND(WBS!$F55&lt;=O$3+6,WBS!$G55&gt;=O$3),"X",""))</f>
        <v/>
      </c>
      <c r="P55" s="4" t="str">
        <f aca="false">IF(AND(WBS!$I55&lt;&gt;"",WBS!$I55&lt;=P$3+6,WBS!$J55&gt;=P$3),"A",IF(AND(WBS!$F55&lt;=P$3+6,WBS!$G55&gt;=P$3),"X",""))</f>
        <v/>
      </c>
      <c r="Q55" s="4" t="str">
        <f aca="false">IF(AND(WBS!$I55&lt;&gt;"",WBS!$I55&lt;=Q$3+6,WBS!$J55&gt;=Q$3),"A",IF(AND(WBS!$F55&lt;=Q$3+6,WBS!$G55&gt;=Q$3),"X",""))</f>
        <v/>
      </c>
    </row>
    <row r="56" customFormat="false" ht="15" hidden="false" customHeight="false" outlineLevel="0" collapsed="false">
      <c r="A56" s="4" t="str">
        <f aca="false">WBS!A56</f>
        <v>9.10</v>
      </c>
      <c r="B56" s="5" t="str">
        <f aca="false">WBS!C56</f>
        <v>Uji agent-plan.yml hasil pemisahan</v>
      </c>
      <c r="C56" s="4" t="str">
        <f aca="false">WBS!E56</f>
        <v>Belum teruji</v>
      </c>
      <c r="D56" s="4" t="str">
        <f aca="false">IF(AND(WBS!$I56&lt;&gt;"",WBS!$I56&lt;=D$3+6,WBS!$J56&gt;=D$3),"A",IF(AND(WBS!$F56&lt;=D$3+6,WBS!$G56&gt;=D$3),"X",""))</f>
        <v/>
      </c>
      <c r="E56" s="4" t="str">
        <f aca="false">IF(AND(WBS!$I56&lt;&gt;"",WBS!$I56&lt;=E$3+6,WBS!$J56&gt;=E$3),"A",IF(AND(WBS!$F56&lt;=E$3+6,WBS!$G56&gt;=E$3),"X",""))</f>
        <v/>
      </c>
      <c r="F56" s="4" t="str">
        <f aca="false">IF(AND(WBS!$I56&lt;&gt;"",WBS!$I56&lt;=F$3+6,WBS!$J56&gt;=F$3),"A",IF(AND(WBS!$F56&lt;=F$3+6,WBS!$G56&gt;=F$3),"X",""))</f>
        <v/>
      </c>
      <c r="G56" s="4" t="str">
        <f aca="false">IF(AND(WBS!$I56&lt;&gt;"",WBS!$I56&lt;=G$3+6,WBS!$J56&gt;=G$3),"A",IF(AND(WBS!$F56&lt;=G$3+6,WBS!$G56&gt;=G$3),"X",""))</f>
        <v/>
      </c>
      <c r="H56" s="4" t="str">
        <f aca="false">IF(AND(WBS!$I56&lt;&gt;"",WBS!$I56&lt;=H$3+6,WBS!$J56&gt;=H$3),"A",IF(AND(WBS!$F56&lt;=H$3+6,WBS!$G56&gt;=H$3),"X",""))</f>
        <v/>
      </c>
      <c r="I56" s="4" t="str">
        <f aca="false">IF(AND(WBS!$I56&lt;&gt;"",WBS!$I56&lt;=I$3+6,WBS!$J56&gt;=I$3),"A",IF(AND(WBS!$F56&lt;=I$3+6,WBS!$G56&gt;=I$3),"X",""))</f>
        <v/>
      </c>
      <c r="J56" s="4" t="str">
        <f aca="false">IF(AND(WBS!$I56&lt;&gt;"",WBS!$I56&lt;=J$3+6,WBS!$J56&gt;=J$3),"A",IF(AND(WBS!$F56&lt;=J$3+6,WBS!$G56&gt;=J$3),"X",""))</f>
        <v/>
      </c>
      <c r="K56" s="4" t="str">
        <f aca="false">IF(AND(WBS!$I56&lt;&gt;"",WBS!$I56&lt;=K$3+6,WBS!$J56&gt;=K$3),"A",IF(AND(WBS!$F56&lt;=K$3+6,WBS!$G56&gt;=K$3),"X",""))</f>
        <v/>
      </c>
      <c r="L56" s="4" t="str">
        <f aca="false">IF(AND(WBS!$I56&lt;&gt;"",WBS!$I56&lt;=L$3+6,WBS!$J56&gt;=L$3),"A",IF(AND(WBS!$F56&lt;=L$3+6,WBS!$G56&gt;=L$3),"X",""))</f>
        <v/>
      </c>
      <c r="M56" s="4" t="str">
        <f aca="false">IF(AND(WBS!$I56&lt;&gt;"",WBS!$I56&lt;=M$3+6,WBS!$J56&gt;=M$3),"A",IF(AND(WBS!$F56&lt;=M$3+6,WBS!$G56&gt;=M$3),"X",""))</f>
        <v/>
      </c>
      <c r="N56" s="4" t="str">
        <f aca="false">IF(AND(WBS!$I56&lt;&gt;"",WBS!$I56&lt;=N$3+6,WBS!$J56&gt;=N$3),"A",IF(AND(WBS!$F56&lt;=N$3+6,WBS!$G56&gt;=N$3),"X",""))</f>
        <v>X</v>
      </c>
      <c r="O56" s="4" t="str">
        <f aca="false">IF(AND(WBS!$I56&lt;&gt;"",WBS!$I56&lt;=O$3+6,WBS!$J56&gt;=O$3),"A",IF(AND(WBS!$F56&lt;=O$3+6,WBS!$G56&gt;=O$3),"X",""))</f>
        <v/>
      </c>
      <c r="P56" s="4" t="str">
        <f aca="false">IF(AND(WBS!$I56&lt;&gt;"",WBS!$I56&lt;=P$3+6,WBS!$J56&gt;=P$3),"A",IF(AND(WBS!$F56&lt;=P$3+6,WBS!$G56&gt;=P$3),"X",""))</f>
        <v/>
      </c>
      <c r="Q56" s="4" t="str">
        <f aca="false">IF(AND(WBS!$I56&lt;&gt;"",WBS!$I56&lt;=Q$3+6,WBS!$J56&gt;=Q$3),"A",IF(AND(WBS!$F56&lt;=Q$3+6,WBS!$G56&gt;=Q$3),"X",""))</f>
        <v/>
      </c>
    </row>
    <row r="58" customFormat="false" ht="15" hidden="false" customHeight="false" outlineLevel="0" collapsed="false">
      <c r="A58" s="34" t="s">
        <v>210</v>
      </c>
    </row>
  </sheetData>
  <conditionalFormatting sqref="D5:Q56">
    <cfRule type="expression" priority="2" aboveAverage="0" equalAverage="0" bottom="0" percent="0" rank="0" text="" dxfId="8">
      <formula>D5="A"</formula>
    </cfRule>
    <cfRule type="expression" priority="3" aboveAverage="0" equalAverage="0" bottom="0" percent="0" rank="0" text="" dxfId="9">
      <formula>AND(D5="X",$C5="Selesai")</formula>
    </cfRule>
    <cfRule type="expression" priority="4" aboveAverage="0" equalAverage="0" bottom="0" percent="0" rank="0" text="" dxfId="10">
      <formula>AND(D5="X",$C5&lt;&gt;"Selesai")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0"/>
    <col collapsed="false" customWidth="true" hidden="false" outlineLevel="0" max="3" min="3" style="0" width="9"/>
    <col collapsed="false" customWidth="true" hidden="false" outlineLevel="0" max="5" min="4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5"/>
    <col collapsed="false" customWidth="true" hidden="false" outlineLevel="0" max="11" min="11" style="0" width="10"/>
    <col collapsed="false" customWidth="true" hidden="false" outlineLevel="0" max="12" min="12" style="0" width="58"/>
  </cols>
  <sheetData>
    <row r="1" customFormat="false" ht="17.35" hidden="false" customHeight="false" outlineLevel="0" collapsed="false">
      <c r="A1" s="1" t="s">
        <v>211</v>
      </c>
    </row>
    <row r="2" customFormat="false" ht="15" hidden="false" customHeight="false" outlineLevel="0" collapsed="false">
      <c r="A2" s="2" t="s">
        <v>212</v>
      </c>
    </row>
    <row r="4" customFormat="false" ht="31.5" hidden="false" customHeight="true" outlineLevel="0" collapsed="false">
      <c r="A4" s="3" t="s">
        <v>213</v>
      </c>
      <c r="B4" s="3" t="s">
        <v>214</v>
      </c>
      <c r="C4" s="3" t="s">
        <v>22</v>
      </c>
      <c r="D4" s="3" t="s">
        <v>7</v>
      </c>
      <c r="E4" s="3" t="s">
        <v>8</v>
      </c>
      <c r="F4" s="3" t="s">
        <v>10</v>
      </c>
      <c r="G4" s="3" t="s">
        <v>11</v>
      </c>
      <c r="H4" s="3" t="s">
        <v>13</v>
      </c>
      <c r="I4" s="3" t="s">
        <v>14</v>
      </c>
      <c r="J4" s="3" t="s">
        <v>215</v>
      </c>
      <c r="K4" s="3" t="s">
        <v>216</v>
      </c>
      <c r="L4" s="3" t="s">
        <v>217</v>
      </c>
    </row>
    <row r="5" customFormat="false" ht="15" hidden="false" customHeight="false" outlineLevel="0" collapsed="false">
      <c r="A5" s="35" t="s">
        <v>19</v>
      </c>
      <c r="B5" s="4" t="n">
        <f aca="false">COUNTIFS(WBS!$B$5:$B$56,$A5)</f>
        <v>4</v>
      </c>
      <c r="C5" s="4" t="n">
        <f aca="false">COUNTIFS(WBS!$B$5:$B$56,$A5,WBS!$E$5:$E$56,"Selesai")</f>
        <v>4</v>
      </c>
      <c r="D5" s="36" t="n">
        <f aca="false">_xlfn.MINIFS(WBS!$F$5:$F$56,WBS!$B$5:$B$56,$A5)</f>
        <v>46204</v>
      </c>
      <c r="E5" s="36" t="n">
        <f aca="false">_xlfn.MAXIFS(WBS!$G$5:$G$56,WBS!$B$5:$B$56,$A5)</f>
        <v>46224</v>
      </c>
      <c r="F5" s="36" t="n">
        <f aca="false">IF(_xlfn.MINIFS(WBS!$I$5:$I$56,WBS!$B$5:$B$56,$A5)=0,"-",_xlfn.MINIFS(WBS!$I$5:$I$56,WBS!$B$5:$B$56,$A5))</f>
        <v>46204</v>
      </c>
      <c r="G5" s="36" t="n">
        <f aca="false">IF(_xlfn.MAXIFS(WBS!$J$5:$J$56,WBS!$B$5:$B$56,$A5)=0,"-",_xlfn.MAXIFS(WBS!$J$5:$J$56,WBS!$B$5:$B$56,$A5))</f>
        <v>46224</v>
      </c>
      <c r="H5" s="37" t="n">
        <f aca="false">SUMIFS(WBS!$L$5:$L$56,WBS!$B$5:$B$56,$A5)</f>
        <v>0.0769230769230769</v>
      </c>
      <c r="I5" s="38" t="n">
        <f aca="false">IFERROR(SUMIFS(WBS!$N$5:$N$56,WBS!$B$5:$B$56,$A5)/$H5,0)</f>
        <v>1</v>
      </c>
      <c r="J5" s="39" t="s">
        <v>218</v>
      </c>
      <c r="K5" s="4" t="s">
        <v>23</v>
      </c>
      <c r="L5" s="6" t="s">
        <v>219</v>
      </c>
    </row>
    <row r="6" customFormat="false" ht="15" hidden="false" customHeight="false" outlineLevel="0" collapsed="false">
      <c r="A6" s="35" t="s">
        <v>35</v>
      </c>
      <c r="B6" s="4" t="n">
        <f aca="false">COUNTIFS(WBS!$B$5:$B$56,$A6)</f>
        <v>4</v>
      </c>
      <c r="C6" s="4" t="n">
        <f aca="false">COUNTIFS(WBS!$B$5:$B$56,$A6,WBS!$E$5:$E$56,"Selesai")</f>
        <v>4</v>
      </c>
      <c r="D6" s="36" t="n">
        <f aca="false">_xlfn.MINIFS(WBS!$F$5:$F$56,WBS!$B$5:$B$56,$A6)</f>
        <v>46209</v>
      </c>
      <c r="E6" s="36" t="n">
        <f aca="false">_xlfn.MAXIFS(WBS!$G$5:$G$56,WBS!$B$5:$B$56,$A6)</f>
        <v>46220</v>
      </c>
      <c r="F6" s="36" t="n">
        <f aca="false">IF(_xlfn.MINIFS(WBS!$I$5:$I$56,WBS!$B$5:$B$56,$A6)=0,"-",_xlfn.MINIFS(WBS!$I$5:$I$56,WBS!$B$5:$B$56,$A6))</f>
        <v>46252</v>
      </c>
      <c r="G6" s="36" t="n">
        <f aca="false">IF(_xlfn.MAXIFS(WBS!$J$5:$J$56,WBS!$B$5:$B$56,$A6)=0,"-",_xlfn.MAXIFS(WBS!$J$5:$J$56,WBS!$B$5:$B$56,$A6))</f>
        <v>46252</v>
      </c>
      <c r="H6" s="37" t="n">
        <f aca="false">SUMIFS(WBS!$L$5:$L$56,WBS!$B$5:$B$56,$A6)</f>
        <v>0.0769230769230769</v>
      </c>
      <c r="I6" s="38" t="n">
        <f aca="false">IFERROR(SUMIFS(WBS!$N$5:$N$56,WBS!$B$5:$B$56,$A6)/$H6,0)</f>
        <v>1</v>
      </c>
      <c r="J6" s="40" t="n">
        <v>0.22</v>
      </c>
      <c r="K6" s="4" t="s">
        <v>23</v>
      </c>
      <c r="L6" s="6" t="s">
        <v>220</v>
      </c>
    </row>
    <row r="7" customFormat="false" ht="15" hidden="false" customHeight="false" outlineLevel="0" collapsed="false">
      <c r="A7" s="35" t="s">
        <v>49</v>
      </c>
      <c r="B7" s="4" t="n">
        <f aca="false">COUNTIFS(WBS!$B$5:$B$56,$A7)</f>
        <v>9</v>
      </c>
      <c r="C7" s="4" t="n">
        <f aca="false">COUNTIFS(WBS!$B$5:$B$56,$A7,WBS!$E$5:$E$56,"Selesai")</f>
        <v>9</v>
      </c>
      <c r="D7" s="36" t="n">
        <f aca="false">_xlfn.MINIFS(WBS!$F$5:$F$56,WBS!$B$5:$B$56,$A7)</f>
        <v>46223</v>
      </c>
      <c r="E7" s="36" t="n">
        <f aca="false">_xlfn.MAXIFS(WBS!$G$5:$G$56,WBS!$B$5:$B$56,$A7)</f>
        <v>46239</v>
      </c>
      <c r="F7" s="36" t="n">
        <f aca="false">IF(_xlfn.MINIFS(WBS!$I$5:$I$56,WBS!$B$5:$B$56,$A7)=0,"-",_xlfn.MINIFS(WBS!$I$5:$I$56,WBS!$B$5:$B$56,$A7))</f>
        <v>46252</v>
      </c>
      <c r="G7" s="36" t="n">
        <f aca="false">IF(_xlfn.MAXIFS(WBS!$J$5:$J$56,WBS!$B$5:$B$56,$A7)=0,"-",_xlfn.MAXIFS(WBS!$J$5:$J$56,WBS!$B$5:$B$56,$A7))</f>
        <v>46252</v>
      </c>
      <c r="H7" s="37" t="n">
        <f aca="false">SUMIFS(WBS!$L$5:$L$56,WBS!$B$5:$B$56,$A7)</f>
        <v>0.173076923076923</v>
      </c>
      <c r="I7" s="38" t="n">
        <f aca="false">IFERROR(SUMIFS(WBS!$N$5:$N$56,WBS!$B$5:$B$56,$A7)/$H7,0)</f>
        <v>1</v>
      </c>
      <c r="J7" s="40" t="n">
        <v>0.09</v>
      </c>
      <c r="K7" s="4" t="s">
        <v>23</v>
      </c>
      <c r="L7" s="6" t="s">
        <v>221</v>
      </c>
    </row>
    <row r="8" customFormat="false" ht="15" hidden="false" customHeight="false" outlineLevel="0" collapsed="false">
      <c r="A8" s="35" t="s">
        <v>77</v>
      </c>
      <c r="B8" s="4" t="n">
        <f aca="false">COUNTIFS(WBS!$B$5:$B$56,$A8)</f>
        <v>4</v>
      </c>
      <c r="C8" s="4" t="n">
        <f aca="false">COUNTIFS(WBS!$B$5:$B$56,$A8,WBS!$E$5:$E$56,"Selesai")</f>
        <v>4</v>
      </c>
      <c r="D8" s="36" t="n">
        <f aca="false">_xlfn.MINIFS(WBS!$F$5:$F$56,WBS!$B$5:$B$56,$A8)</f>
        <v>46244</v>
      </c>
      <c r="E8" s="36" t="n">
        <f aca="false">_xlfn.MAXIFS(WBS!$G$5:$G$56,WBS!$B$5:$B$56,$A8)</f>
        <v>46248</v>
      </c>
      <c r="F8" s="36" t="n">
        <f aca="false">IF(_xlfn.MINIFS(WBS!$I$5:$I$56,WBS!$B$5:$B$56,$A8)=0,"-",_xlfn.MINIFS(WBS!$I$5:$I$56,WBS!$B$5:$B$56,$A8))</f>
        <v>46252</v>
      </c>
      <c r="G8" s="36" t="n">
        <f aca="false">IF(_xlfn.MAXIFS(WBS!$J$5:$J$56,WBS!$B$5:$B$56,$A8)=0,"-",_xlfn.MAXIFS(WBS!$J$5:$J$56,WBS!$B$5:$B$56,$A8))</f>
        <v>46252</v>
      </c>
      <c r="H8" s="37" t="n">
        <f aca="false">SUMIFS(WBS!$L$5:$L$56,WBS!$B$5:$B$56,$A8)</f>
        <v>0.0769230769230769</v>
      </c>
      <c r="I8" s="38" t="n">
        <f aca="false">IFERROR(SUMIFS(WBS!$N$5:$N$56,WBS!$B$5:$B$56,$A8)/$H8,0)</f>
        <v>1</v>
      </c>
      <c r="J8" s="40" t="n">
        <v>0.06</v>
      </c>
      <c r="K8" s="4" t="s">
        <v>23</v>
      </c>
      <c r="L8" s="6" t="s">
        <v>222</v>
      </c>
    </row>
    <row r="9" customFormat="false" ht="15" hidden="false" customHeight="false" outlineLevel="0" collapsed="false">
      <c r="A9" s="35" t="s">
        <v>90</v>
      </c>
      <c r="B9" s="4" t="n">
        <f aca="false">COUNTIFS(WBS!$B$5:$B$56,$A9)</f>
        <v>3</v>
      </c>
      <c r="C9" s="4" t="n">
        <f aca="false">COUNTIFS(WBS!$B$5:$B$56,$A9,WBS!$E$5:$E$56,"Selesai")</f>
        <v>3</v>
      </c>
      <c r="D9" s="36" t="n">
        <f aca="false">_xlfn.MINIFS(WBS!$F$5:$F$56,WBS!$B$5:$B$56,$A9)</f>
        <v>46251</v>
      </c>
      <c r="E9" s="36" t="n">
        <f aca="false">_xlfn.MAXIFS(WBS!$G$5:$G$56,WBS!$B$5:$B$56,$A9)</f>
        <v>46255</v>
      </c>
      <c r="F9" s="36" t="n">
        <f aca="false">IF(_xlfn.MINIFS(WBS!$I$5:$I$56,WBS!$B$5:$B$56,$A9)=0,"-",_xlfn.MINIFS(WBS!$I$5:$I$56,WBS!$B$5:$B$56,$A9))</f>
        <v>46252</v>
      </c>
      <c r="G9" s="36" t="n">
        <f aca="false">IF(_xlfn.MAXIFS(WBS!$J$5:$J$56,WBS!$B$5:$B$56,$A9)=0,"-",_xlfn.MAXIFS(WBS!$J$5:$J$56,WBS!$B$5:$B$56,$A9))</f>
        <v>46252</v>
      </c>
      <c r="H9" s="37" t="n">
        <f aca="false">SUMIFS(WBS!$L$5:$L$56,WBS!$B$5:$B$56,$A9)</f>
        <v>0.0576923076923077</v>
      </c>
      <c r="I9" s="38" t="n">
        <f aca="false">IFERROR(SUMIFS(WBS!$N$5:$N$56,WBS!$B$5:$B$56,$A9)/$H9,0)</f>
        <v>1</v>
      </c>
      <c r="J9" s="40" t="n">
        <v>0.02</v>
      </c>
      <c r="K9" s="4" t="s">
        <v>23</v>
      </c>
      <c r="L9" s="6" t="s">
        <v>223</v>
      </c>
    </row>
    <row r="10" customFormat="false" ht="15" hidden="false" customHeight="false" outlineLevel="0" collapsed="false">
      <c r="A10" s="35" t="s">
        <v>100</v>
      </c>
      <c r="B10" s="4" t="n">
        <f aca="false">COUNTIFS(WBS!$B$5:$B$56,$A10)</f>
        <v>4</v>
      </c>
      <c r="C10" s="4" t="n">
        <f aca="false">COUNTIFS(WBS!$B$5:$B$56,$A10,WBS!$E$5:$E$56,"Selesai")</f>
        <v>4</v>
      </c>
      <c r="D10" s="36" t="n">
        <f aca="false">_xlfn.MINIFS(WBS!$F$5:$F$56,WBS!$B$5:$B$56,$A10)</f>
        <v>46258</v>
      </c>
      <c r="E10" s="36" t="n">
        <f aca="false">_xlfn.MAXIFS(WBS!$G$5:$G$56,WBS!$B$5:$B$56,$A10)</f>
        <v>46269</v>
      </c>
      <c r="F10" s="36" t="n">
        <f aca="false">IF(_xlfn.MINIFS(WBS!$I$5:$I$56,WBS!$B$5:$B$56,$A10)=0,"-",_xlfn.MINIFS(WBS!$I$5:$I$56,WBS!$B$5:$B$56,$A10))</f>
        <v>46254</v>
      </c>
      <c r="G10" s="36" t="n">
        <f aca="false">IF(_xlfn.MAXIFS(WBS!$J$5:$J$56,WBS!$B$5:$B$56,$A10)=0,"-",_xlfn.MAXIFS(WBS!$J$5:$J$56,WBS!$B$5:$B$56,$A10))</f>
        <v>46270</v>
      </c>
      <c r="H10" s="37" t="n">
        <f aca="false">SUMIFS(WBS!$L$5:$L$56,WBS!$B$5:$B$56,$A10)</f>
        <v>0.0769230769230769</v>
      </c>
      <c r="I10" s="38" t="n">
        <f aca="false">IFERROR(SUMIFS(WBS!$N$5:$N$56,WBS!$B$5:$B$56,$A10)/$H10,0)</f>
        <v>1</v>
      </c>
      <c r="J10" s="39" t="s">
        <v>218</v>
      </c>
      <c r="K10" s="4" t="s">
        <v>23</v>
      </c>
      <c r="L10" s="6" t="s">
        <v>224</v>
      </c>
    </row>
    <row r="11" customFormat="false" ht="15" hidden="false" customHeight="false" outlineLevel="0" collapsed="false">
      <c r="A11" s="35" t="s">
        <v>113</v>
      </c>
      <c r="B11" s="4" t="n">
        <f aca="false">COUNTIFS(WBS!$B$5:$B$56,$A11)</f>
        <v>3</v>
      </c>
      <c r="C11" s="4" t="n">
        <f aca="false">COUNTIFS(WBS!$B$5:$B$56,$A11,WBS!$E$5:$E$56,"Selesai")</f>
        <v>3</v>
      </c>
      <c r="D11" s="36" t="n">
        <f aca="false">_xlfn.MINIFS(WBS!$F$5:$F$56,WBS!$B$5:$B$56,$A11)</f>
        <v>46272</v>
      </c>
      <c r="E11" s="36" t="n">
        <f aca="false">_xlfn.MAXIFS(WBS!$G$5:$G$56,WBS!$B$5:$B$56,$A11)</f>
        <v>46276</v>
      </c>
      <c r="F11" s="36" t="n">
        <f aca="false">IF(_xlfn.MINIFS(WBS!$I$5:$I$56,WBS!$B$5:$B$56,$A11)=0,"-",_xlfn.MINIFS(WBS!$I$5:$I$56,WBS!$B$5:$B$56,$A11))</f>
        <v>46270</v>
      </c>
      <c r="G11" s="36" t="n">
        <f aca="false">IF(_xlfn.MAXIFS(WBS!$J$5:$J$56,WBS!$B$5:$B$56,$A11)=0,"-",_xlfn.MAXIFS(WBS!$J$5:$J$56,WBS!$B$5:$B$56,$A11))</f>
        <v>46270</v>
      </c>
      <c r="H11" s="37" t="n">
        <f aca="false">SUMIFS(WBS!$L$5:$L$56,WBS!$B$5:$B$56,$A11)</f>
        <v>0.0576923076923077</v>
      </c>
      <c r="I11" s="38" t="n">
        <f aca="false">IFERROR(SUMIFS(WBS!$N$5:$N$56,WBS!$B$5:$B$56,$A11)/$H11,0)</f>
        <v>1</v>
      </c>
      <c r="J11" s="39" t="s">
        <v>218</v>
      </c>
      <c r="K11" s="4" t="s">
        <v>23</v>
      </c>
      <c r="L11" s="6" t="s">
        <v>225</v>
      </c>
    </row>
    <row r="12" customFormat="false" ht="15" hidden="false" customHeight="false" outlineLevel="0" collapsed="false">
      <c r="A12" s="35" t="s">
        <v>123</v>
      </c>
      <c r="B12" s="4" t="n">
        <f aca="false">COUNTIFS(WBS!$B$5:$B$56,$A12)</f>
        <v>7</v>
      </c>
      <c r="C12" s="4" t="n">
        <f aca="false">COUNTIFS(WBS!$B$5:$B$56,$A12,WBS!$E$5:$E$56,"Selesai")</f>
        <v>6</v>
      </c>
      <c r="D12" s="36" t="n">
        <f aca="false">_xlfn.MINIFS(WBS!$F$5:$F$56,WBS!$B$5:$B$56,$A12)</f>
        <v>46279</v>
      </c>
      <c r="E12" s="36" t="n">
        <f aca="false">_xlfn.MAXIFS(WBS!$G$5:$G$56,WBS!$B$5:$B$56,$A12)</f>
        <v>46283</v>
      </c>
      <c r="F12" s="36" t="n">
        <f aca="false">IF(_xlfn.MINIFS(WBS!$I$5:$I$56,WBS!$B$5:$B$56,$A12)=0,"-",_xlfn.MINIFS(WBS!$I$5:$I$56,WBS!$B$5:$B$56,$A12))</f>
        <v>46270</v>
      </c>
      <c r="G12" s="36" t="n">
        <f aca="false">IF(_xlfn.MAXIFS(WBS!$J$5:$J$56,WBS!$B$5:$B$56,$A12)=0,"-",_xlfn.MAXIFS(WBS!$J$5:$J$56,WBS!$B$5:$B$56,$A12))</f>
        <v>46270</v>
      </c>
      <c r="H12" s="37" t="n">
        <f aca="false">SUMIFS(WBS!$L$5:$L$56,WBS!$B$5:$B$56,$A12)</f>
        <v>0.134615384615385</v>
      </c>
      <c r="I12" s="38" t="n">
        <f aca="false">IFERROR(SUMIFS(WBS!$N$5:$N$56,WBS!$B$5:$B$56,$A12)/$H12,0)</f>
        <v>0.857142857142857</v>
      </c>
      <c r="J12" s="40" t="n">
        <v>7.32</v>
      </c>
      <c r="K12" s="4" t="s">
        <v>23</v>
      </c>
      <c r="L12" s="6" t="s">
        <v>226</v>
      </c>
    </row>
    <row r="13" customFormat="false" ht="15" hidden="false" customHeight="false" outlineLevel="0" collapsed="false">
      <c r="A13" s="35" t="s">
        <v>147</v>
      </c>
      <c r="B13" s="4" t="n">
        <f aca="false">COUNTIFS(WBS!$B$5:$B$56,$A13)</f>
        <v>4</v>
      </c>
      <c r="C13" s="4" t="n">
        <f aca="false">COUNTIFS(WBS!$B$5:$B$56,$A13,WBS!$E$5:$E$56,"Selesai")</f>
        <v>0</v>
      </c>
      <c r="D13" s="36" t="n">
        <f aca="false">_xlfn.MINIFS(WBS!$F$5:$F$56,WBS!$B$5:$B$56,$A13)</f>
        <v>46286</v>
      </c>
      <c r="E13" s="36" t="n">
        <f aca="false">_xlfn.MAXIFS(WBS!$G$5:$G$56,WBS!$B$5:$B$56,$A13)</f>
        <v>46290</v>
      </c>
      <c r="F13" s="36" t="str">
        <f aca="false">IF(_xlfn.MINIFS(WBS!$I$5:$I$56,WBS!$B$5:$B$56,$A13)=0,"-",_xlfn.MINIFS(WBS!$I$5:$I$56,WBS!$B$5:$B$56,$A13))</f>
        <v>-</v>
      </c>
      <c r="G13" s="36" t="str">
        <f aca="false">IF(_xlfn.MAXIFS(WBS!$J$5:$J$56,WBS!$B$5:$B$56,$A13)=0,"-",_xlfn.MAXIFS(WBS!$J$5:$J$56,WBS!$B$5:$B$56,$A13))</f>
        <v>-</v>
      </c>
      <c r="H13" s="37" t="n">
        <f aca="false">SUMIFS(WBS!$L$5:$L$56,WBS!$B$5:$B$56,$A13)</f>
        <v>0.0769230769230769</v>
      </c>
      <c r="I13" s="38" t="n">
        <f aca="false">IFERROR(SUMIFS(WBS!$N$5:$N$56,WBS!$B$5:$B$56,$A13)/$H13,0)</f>
        <v>0</v>
      </c>
      <c r="J13" s="40" t="n">
        <v>4.42</v>
      </c>
      <c r="K13" s="4" t="s">
        <v>141</v>
      </c>
      <c r="L13" s="6" t="s">
        <v>227</v>
      </c>
    </row>
    <row r="14" customFormat="false" ht="15" hidden="false" customHeight="false" outlineLevel="0" collapsed="false">
      <c r="A14" s="35" t="s">
        <v>161</v>
      </c>
      <c r="B14" s="4" t="n">
        <f aca="false">COUNTIFS(WBS!$B$5:$B$56,$A14)</f>
        <v>10</v>
      </c>
      <c r="C14" s="4" t="n">
        <f aca="false">COUNTIFS(WBS!$B$5:$B$56,$A14,WBS!$E$5:$E$56,"Selesai")</f>
        <v>9</v>
      </c>
      <c r="D14" s="36" t="n">
        <f aca="false">_xlfn.MINIFS(WBS!$F$5:$F$56,WBS!$B$5:$B$56,$A14)</f>
        <v>46270</v>
      </c>
      <c r="E14" s="36" t="n">
        <f aca="false">_xlfn.MAXIFS(WBS!$G$5:$G$56,WBS!$B$5:$B$56,$A14)</f>
        <v>46272</v>
      </c>
      <c r="F14" s="36" t="n">
        <f aca="false">IF(_xlfn.MINIFS(WBS!$I$5:$I$56,WBS!$B$5:$B$56,$A14)=0,"-",_xlfn.MINIFS(WBS!$I$5:$I$56,WBS!$B$5:$B$56,$A14))</f>
        <v>46270</v>
      </c>
      <c r="G14" s="36" t="n">
        <f aca="false">IF(_xlfn.MAXIFS(WBS!$J$5:$J$56,WBS!$B$5:$B$56,$A14)=0,"-",_xlfn.MAXIFS(WBS!$J$5:$J$56,WBS!$B$5:$B$56,$A14))</f>
        <v>46270</v>
      </c>
      <c r="H14" s="37" t="n">
        <f aca="false">SUMIFS(WBS!$L$5:$L$56,WBS!$B$5:$B$56,$A14)</f>
        <v>0.192307692307692</v>
      </c>
      <c r="I14" s="38" t="n">
        <f aca="false">IFERROR(SUMIFS(WBS!$N$5:$N$56,WBS!$B$5:$B$56,$A14)/$H14,0)</f>
        <v>0.9</v>
      </c>
      <c r="J14" s="40" t="n">
        <v>2.82</v>
      </c>
      <c r="K14" s="4" t="s">
        <v>23</v>
      </c>
      <c r="L14" s="6" t="s">
        <v>228</v>
      </c>
    </row>
    <row r="15" customFormat="false" ht="15" hidden="false" customHeight="false" outlineLevel="0" collapsed="false">
      <c r="A15" s="25" t="s">
        <v>191</v>
      </c>
      <c r="B15" s="26" t="n">
        <f aca="false">SUM(B5:B14)</f>
        <v>52</v>
      </c>
      <c r="C15" s="26" t="n">
        <f aca="false">SUM(C5:C14)</f>
        <v>46</v>
      </c>
      <c r="D15" s="25"/>
      <c r="E15" s="25"/>
      <c r="F15" s="25"/>
      <c r="G15" s="25"/>
      <c r="H15" s="27" t="n">
        <f aca="false">SUM(H5:H14)</f>
        <v>1</v>
      </c>
      <c r="I15" s="27" t="n">
        <f aca="false">SUM(WBS!$N$5:$N$56)</f>
        <v>0.884615384615385</v>
      </c>
      <c r="J15" s="41" t="n">
        <f aca="false">SUM(J5:J14)</f>
        <v>14.95</v>
      </c>
      <c r="K15" s="25"/>
      <c r="L15" s="25"/>
    </row>
    <row r="17" customFormat="false" ht="15" hidden="false" customHeight="false" outlineLevel="0" collapsed="false">
      <c r="A17" s="42" t="s">
        <v>229</v>
      </c>
    </row>
    <row r="18" customFormat="false" ht="15" hidden="false" customHeight="false" outlineLevel="0" collapsed="false">
      <c r="A18" s="32" t="s">
        <v>230</v>
      </c>
      <c r="B18" s="32" t="s">
        <v>214</v>
      </c>
      <c r="C18" s="32" t="s">
        <v>22</v>
      </c>
      <c r="D18" s="32" t="s">
        <v>13</v>
      </c>
      <c r="E18" s="32" t="s">
        <v>14</v>
      </c>
      <c r="F18" s="32" t="s">
        <v>231</v>
      </c>
    </row>
    <row r="19" customFormat="false" ht="64.15" hidden="false" customHeight="false" outlineLevel="0" collapsed="false">
      <c r="A19" s="35" t="s">
        <v>232</v>
      </c>
      <c r="B19" s="4" t="n">
        <f aca="false">COUNTIFS(WBS!$K$5:$K$56,$A19)</f>
        <v>16</v>
      </c>
      <c r="C19" s="4" t="n">
        <f aca="false">COUNTIFS(WBS!$K$5:$K$56,$A19,WBS!$E$5:$E$56,"Selesai")</f>
        <v>16</v>
      </c>
      <c r="D19" s="37" t="n">
        <f aca="false">SUMIFS(WBS!$L$5:$L$56,WBS!$K$5:$K$56,$A19)</f>
        <v>0.307692307692308</v>
      </c>
      <c r="E19" s="38" t="n">
        <f aca="false">IFERROR(SUMIFS(WBS!$N$5:$N$56,WBS!$K$5:$K$56,$A19)/$D19,0)</f>
        <v>1</v>
      </c>
      <c r="F19" s="6" t="s">
        <v>233</v>
      </c>
    </row>
    <row r="20" customFormat="false" ht="53.7" hidden="false" customHeight="false" outlineLevel="0" collapsed="false">
      <c r="A20" s="35" t="s">
        <v>234</v>
      </c>
      <c r="B20" s="4" t="n">
        <f aca="false">COUNTIFS(WBS!$K$5:$K$56,$A20)</f>
        <v>10</v>
      </c>
      <c r="C20" s="4" t="n">
        <f aca="false">COUNTIFS(WBS!$K$5:$K$56,$A20,WBS!$E$5:$E$56,"Selesai")</f>
        <v>10</v>
      </c>
      <c r="D20" s="37" t="n">
        <f aca="false">SUMIFS(WBS!$L$5:$L$56,WBS!$K$5:$K$56,$A20)</f>
        <v>0.192307692307692</v>
      </c>
      <c r="E20" s="38" t="n">
        <f aca="false">IFERROR(SUMIFS(WBS!$N$5:$N$56,WBS!$K$5:$K$56,$A20)/$D20,0)</f>
        <v>1</v>
      </c>
      <c r="F20" s="6" t="s">
        <v>235</v>
      </c>
    </row>
    <row r="21" customFormat="false" ht="64.15" hidden="false" customHeight="false" outlineLevel="0" collapsed="false">
      <c r="A21" s="35" t="s">
        <v>236</v>
      </c>
      <c r="B21" s="4" t="n">
        <f aca="false">COUNTIFS(WBS!$K$5:$K$56,$A21)</f>
        <v>26</v>
      </c>
      <c r="C21" s="4" t="n">
        <f aca="false">COUNTIFS(WBS!$K$5:$K$56,$A21,WBS!$E$5:$E$56,"Selesai")</f>
        <v>20</v>
      </c>
      <c r="D21" s="37" t="n">
        <f aca="false">SUMIFS(WBS!$L$5:$L$56,WBS!$K$5:$K$56,$A21)</f>
        <v>0.5</v>
      </c>
      <c r="E21" s="38" t="n">
        <f aca="false">IFERROR(SUMIFS(WBS!$N$5:$N$56,WBS!$K$5:$K$56,$A21)/$D21,0)</f>
        <v>0.769230769230769</v>
      </c>
      <c r="F21" s="6" t="s">
        <v>237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8"/>
  </cols>
  <sheetData>
    <row r="1" customFormat="false" ht="17.35" hidden="false" customHeight="false" outlineLevel="0" collapsed="false">
      <c r="A1" s="1" t="s">
        <v>238</v>
      </c>
    </row>
    <row r="3" customFormat="false" ht="15" hidden="false" customHeight="false" outlineLevel="0" collapsed="false">
      <c r="A3" s="43"/>
      <c r="B3" s="44"/>
    </row>
    <row r="4" customFormat="false" ht="15" hidden="false" customHeight="false" outlineLevel="0" collapsed="false">
      <c r="A4" s="45" t="s">
        <v>239</v>
      </c>
    </row>
    <row r="5" customFormat="false" ht="15" hidden="false" customHeight="false" outlineLevel="0" collapsed="false">
      <c r="A5" s="43" t="s">
        <v>240</v>
      </c>
      <c r="B5" s="44" t="s">
        <v>241</v>
      </c>
    </row>
    <row r="6" customFormat="false" ht="22.35" hidden="false" customHeight="false" outlineLevel="0" collapsed="false">
      <c r="A6" s="43" t="s">
        <v>242</v>
      </c>
      <c r="B6" s="44" t="s">
        <v>243</v>
      </c>
    </row>
    <row r="7" customFormat="false" ht="15" hidden="false" customHeight="false" outlineLevel="0" collapsed="false">
      <c r="A7" s="43" t="s">
        <v>244</v>
      </c>
      <c r="B7" s="44" t="s">
        <v>245</v>
      </c>
    </row>
    <row r="8" customFormat="false" ht="15" hidden="false" customHeight="false" outlineLevel="0" collapsed="false">
      <c r="A8" s="43" t="s">
        <v>246</v>
      </c>
      <c r="B8" s="44" t="s">
        <v>247</v>
      </c>
    </row>
    <row r="9" customFormat="false" ht="15" hidden="false" customHeight="false" outlineLevel="0" collapsed="false">
      <c r="A9" s="43"/>
      <c r="B9" s="44"/>
    </row>
    <row r="10" customFormat="false" ht="15" hidden="false" customHeight="false" outlineLevel="0" collapsed="false">
      <c r="A10" s="45" t="s">
        <v>248</v>
      </c>
    </row>
    <row r="11" customFormat="false" ht="15" hidden="false" customHeight="false" outlineLevel="0" collapsed="false">
      <c r="A11" s="43" t="s">
        <v>249</v>
      </c>
      <c r="B11" s="44" t="s">
        <v>250</v>
      </c>
    </row>
    <row r="12" customFormat="false" ht="15" hidden="false" customHeight="false" outlineLevel="0" collapsed="false">
      <c r="A12" s="43" t="s">
        <v>251</v>
      </c>
      <c r="B12" s="44" t="s">
        <v>252</v>
      </c>
    </row>
    <row r="13" customFormat="false" ht="15" hidden="false" customHeight="false" outlineLevel="0" collapsed="false">
      <c r="A13" s="43" t="s">
        <v>253</v>
      </c>
      <c r="B13" s="44" t="s">
        <v>254</v>
      </c>
    </row>
    <row r="14" customFormat="false" ht="15" hidden="false" customHeight="false" outlineLevel="0" collapsed="false">
      <c r="A14" s="43" t="s">
        <v>255</v>
      </c>
      <c r="B14" s="44" t="s">
        <v>256</v>
      </c>
    </row>
    <row r="15" customFormat="false" ht="15" hidden="false" customHeight="false" outlineLevel="0" collapsed="false">
      <c r="A15" s="43"/>
      <c r="B15" s="44"/>
    </row>
    <row r="16" customFormat="false" ht="15" hidden="false" customHeight="false" outlineLevel="0" collapsed="false">
      <c r="A16" s="45" t="s">
        <v>257</v>
      </c>
    </row>
    <row r="17" customFormat="false" ht="15" hidden="false" customHeight="false" outlineLevel="0" collapsed="false">
      <c r="A17" s="43" t="s">
        <v>22</v>
      </c>
      <c r="B17" s="44" t="s">
        <v>258</v>
      </c>
    </row>
    <row r="18" customFormat="false" ht="15" hidden="false" customHeight="false" outlineLevel="0" collapsed="false">
      <c r="A18" s="43" t="s">
        <v>259</v>
      </c>
      <c r="B18" s="44" t="s">
        <v>260</v>
      </c>
    </row>
    <row r="19" customFormat="false" ht="15" hidden="false" customHeight="false" outlineLevel="0" collapsed="false">
      <c r="A19" s="43" t="s">
        <v>261</v>
      </c>
      <c r="B19" s="44" t="s">
        <v>262</v>
      </c>
    </row>
    <row r="20" customFormat="false" ht="15" hidden="false" customHeight="false" outlineLevel="0" collapsed="false">
      <c r="A20" s="43" t="s">
        <v>140</v>
      </c>
      <c r="B20" s="44" t="s">
        <v>263</v>
      </c>
    </row>
    <row r="21" customFormat="false" ht="15" hidden="false" customHeight="false" outlineLevel="0" collapsed="false">
      <c r="A21" s="43" t="s">
        <v>149</v>
      </c>
      <c r="B21" s="44" t="s">
        <v>264</v>
      </c>
    </row>
    <row r="22" customFormat="false" ht="15" hidden="false" customHeight="false" outlineLevel="0" collapsed="false">
      <c r="A22" s="43"/>
      <c r="B22" s="44"/>
    </row>
    <row r="23" customFormat="false" ht="15" hidden="false" customHeight="false" outlineLevel="0" collapsed="false">
      <c r="A23" s="45" t="s">
        <v>265</v>
      </c>
    </row>
    <row r="24" customFormat="false" ht="15" hidden="false" customHeight="false" outlineLevel="0" collapsed="false">
      <c r="A24" s="43" t="s">
        <v>266</v>
      </c>
      <c r="B24" s="44" t="s">
        <v>267</v>
      </c>
    </row>
    <row r="25" customFormat="false" ht="15" hidden="false" customHeight="false" outlineLevel="0" collapsed="false">
      <c r="A25" s="43" t="s">
        <v>268</v>
      </c>
      <c r="B25" s="44" t="s">
        <v>269</v>
      </c>
    </row>
    <row r="26" customFormat="false" ht="15" hidden="false" customHeight="false" outlineLevel="0" collapsed="false">
      <c r="A26" s="43" t="s">
        <v>270</v>
      </c>
      <c r="B26" s="44" t="s">
        <v>271</v>
      </c>
    </row>
    <row r="27" customFormat="false" ht="15" hidden="false" customHeight="false" outlineLevel="0" collapsed="false">
      <c r="A27" s="43" t="s">
        <v>272</v>
      </c>
      <c r="B27" s="44" t="s">
        <v>273</v>
      </c>
    </row>
    <row r="28" customFormat="false" ht="15" hidden="false" customHeight="false" outlineLevel="0" collapsed="false">
      <c r="A28" s="43" t="s">
        <v>274</v>
      </c>
      <c r="B28" s="44" t="s">
        <v>275</v>
      </c>
    </row>
    <row r="29" customFormat="false" ht="15" hidden="false" customHeight="false" outlineLevel="0" collapsed="false">
      <c r="A29" s="43" t="s">
        <v>276</v>
      </c>
      <c r="B29" s="44" t="s">
        <v>277</v>
      </c>
    </row>
    <row r="30" customFormat="false" ht="15" hidden="false" customHeight="false" outlineLevel="0" collapsed="false">
      <c r="A30" s="43"/>
      <c r="B30" s="44"/>
    </row>
    <row r="31" customFormat="false" ht="15" hidden="false" customHeight="false" outlineLevel="0" collapsed="false">
      <c r="A31" s="45" t="s">
        <v>278</v>
      </c>
    </row>
    <row r="32" customFormat="false" ht="15" hidden="false" customHeight="false" outlineLevel="0" collapsed="false">
      <c r="A32" s="43" t="s">
        <v>279</v>
      </c>
      <c r="B32" s="44" t="s">
        <v>280</v>
      </c>
    </row>
    <row r="33" customFormat="false" ht="15" hidden="false" customHeight="false" outlineLevel="0" collapsed="false">
      <c r="A33" s="43" t="s">
        <v>281</v>
      </c>
      <c r="B33" s="44" t="s">
        <v>282</v>
      </c>
    </row>
    <row r="34" customFormat="false" ht="15" hidden="false" customHeight="false" outlineLevel="0" collapsed="false">
      <c r="A34" s="43" t="s">
        <v>283</v>
      </c>
      <c r="B34" s="44" t="s">
        <v>284</v>
      </c>
    </row>
    <row r="35" customFormat="false" ht="15" hidden="false" customHeight="false" outlineLevel="0" collapsed="false">
      <c r="A35" s="43" t="s">
        <v>285</v>
      </c>
      <c r="B35" s="44" t="s">
        <v>286</v>
      </c>
    </row>
    <row r="36" customFormat="false" ht="15" hidden="false" customHeight="false" outlineLevel="0" collapsed="false">
      <c r="A36" s="43" t="s">
        <v>287</v>
      </c>
      <c r="B36" s="44" t="s">
        <v>288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2026-09-05T12:11:44Z</dcterms:created>
  <dc:creator>openpyxl</dc:creator>
  <dc:description/>
  <dc:language>en-US</dc:language>
  <cp:lastModifiedBy/>
  <dcterms:modified xsi:type="dcterms:W3CDTF">2026-09-05T12:11:44Z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